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35ca58bcc4401e" /></Relationships>
</file>

<file path=xl/workbook.xml><?xml version="1.0" encoding="utf-8"?>
<x:workbook xmlns:x="http://schemas.openxmlformats.org/spreadsheetml/2006/main">
  <x:sheets>
    <x:sheet xmlns:r="http://schemas.openxmlformats.org/officeDocument/2006/relationships" name="Records" sheetId="1" r:id="Rcfe3e34b76bc4201"/>
    <x:sheet xmlns:r="http://schemas.openxmlformats.org/officeDocument/2006/relationships" name="Leads" sheetId="2" r:id="R2f8fcc9bdf464307"/>
    <x:sheet xmlns:r="http://schemas.openxmlformats.org/officeDocument/2006/relationships" name="Notes" sheetId="3" r:id="Rcde38bcb4e8a487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9">
    <x:font>
      <x:sz val="11"/>
      <x:name val="Carlito"/>
    </x:font>
    <x:font>
      <x:sz val="10"/>
      <x:color rgb="FF24364B"/>
      <x:name val="Helvetica Neue"/>
    </x:font>
    <x:font>
      <x:b/>
      <x:sz val="10"/>
      <x:color rgb="FFFFFFFF"/>
      <x:name val="Helvetica Neue"/>
    </x:font>
    <x:font>
      <x:sz val="10"/>
      <x:color rgb="FF355C7D"/>
      <x:name val="Helvetica Neue"/>
    </x:font>
    <x:font>
      <x:b/>
      <x:sz val="15"/>
      <x:color rgb="FF24364B"/>
      <x:name val="Helvetica Neue"/>
    </x:font>
    <x:font>
      <x:i/>
      <x:sz val="10"/>
      <x:color rgb="FF556577"/>
      <x:name val="Helvetica Neue"/>
    </x:font>
    <x:font>
      <x:sz val="11"/>
      <x:color rgb="FF24364B"/>
      <x:name val="Helvetica Neue"/>
    </x:font>
    <x:font>
      <x:b/>
      <x:sz val="14"/>
      <x:color rgb="FF24364B"/>
      <x:name val="Helvetica Neue"/>
    </x:font>
    <x:font>
      <x:b/>
      <x:sz val="11"/>
      <x:color rgb="FF24364B"/>
      <x:name val="Helvetica Neue"/>
    </x:font>
  </x:fonts>
  <x:fills count="4">
    <x:fill>
      <x:patternFill patternType="none"/>
    </x:fill>
    <x:fill>
      <x:patternFill patternType="gray125"/>
    </x:fill>
    <x:fill>
      <x:patternFill patternType="solid">
        <x:fgColor rgb="FF24364B"/>
      </x:patternFill>
    </x:fill>
    <x:fill>
      <x:patternFill patternType="solid">
        <x:fgColor rgb="FFF0F3F6"/>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1" xfId="0" applyNumberFormat="1" applyFont="1" applyFill="1" applyBorder="1" applyAlignment="1">
      <x:alignment vertical="center" wrapText="1"/>
    </x:xf>
    <x:xf numFmtId="200" fontId="2" fillId="2" borderId="2" xfId="0" applyNumberFormat="1" applyFont="1" applyFill="1" applyBorder="1" applyAlignment="1">
      <x:alignment vertical="center" wrapText="1"/>
    </x:xf>
    <x:xf numFmtId="200" fontId="2" fillId="2" borderId="3" xfId="0" applyNumberFormat="1" applyFont="1" applyFill="1" applyBorder="1" applyAlignment="1">
      <x:alignment vertical="center" wrapText="1"/>
    </x:xf>
    <x:xf numFmtId="200" fontId="3"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4"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201" fontId="6" fillId="0" borderId="0" xfId="0" applyNumberFormat="1" applyFont="1" applyFill="1" applyBorder="1" applyAlignment="1">
      <x:alignment vertical="top" wrapText="1"/>
    </x:xf>
  </x:cellXfs>
  <x:cellStyles count="1">
    <x:cellStyle name="Normal" xfId="0"/>
  </x:cellStyles>
  <x:dxfs count="1">
    <x:dxf>
      <x:font>
        <x:color rgb="FF7A4B00"/>
      </x:font>
      <x:fill>
        <x:patternFill patternType="solid">
          <x:bgColor rgb="FFFFF0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c96037e77e4045" /><Relationship Type="http://schemas.openxmlformats.org/officeDocument/2006/relationships/theme" Target="/xl/theme/theme1.xml" Id="R3d5415a4a0614550" /><Relationship Type="http://schemas.openxmlformats.org/officeDocument/2006/relationships/sharedStrings" Target="/xl/sharedStrings.xml" Id="R40cae99275d846ad" /><Relationship Type="http://schemas.openxmlformats.org/officeDocument/2006/relationships/worksheet" Target="/xl/worksheets/sheet1.xml" Id="Rcfe3e34b76bc4201" /><Relationship Type="http://schemas.openxmlformats.org/officeDocument/2006/relationships/worksheet" Target="/xl/worksheets/sheet2.xml" Id="R2f8fcc9bdf464307" /><Relationship Type="http://schemas.openxmlformats.org/officeDocument/2006/relationships/worksheet" Target="/xl/worksheets/sheet3.xml" Id="Rcde38bcb4e8a4873" /></Relationships>
</file>

<file path=xl/tables/table1.xml><?xml version="1.0" encoding="utf-8"?>
<x:table xmlns:x="http://schemas.openxmlformats.org/spreadsheetml/2006/main" id="1" name="RecordsTable" displayName="RecordsTable" ref="A4:AE113" headerRowCount="1" totalsRowCount="0" totalsRowShown="0">
  <x:tableColumns count="31">
    <x:tableColumn id="1" name="MCST No"/>
    <x:tableColumn id="2" name="Development Name"/>
    <x:tableColumn id="3" name="Lead name"/>
    <x:tableColumn id="4" name="LinkedIn search outcome"/>
    <x:tableColumn id="5" name="Role"/>
    <x:tableColumn id="6" name="Organisation"/>
    <x:tableColumn id="7" name="Relationship"/>
    <x:tableColumn id="8" name="Published business email"/>
    <x:tableColumn id="9" name="Published business phone"/>
    <x:tableColumn id="10" name="LinkedIn URL"/>
    <x:tableColumn id="11" name="Contact scope"/>
    <x:tableColumn id="12" name="Evidence summary"/>
    <x:tableColumn id="13" name="Evidence period"/>
    <x:tableColumn id="14" name="Limitations"/>
    <x:tableColumn id="15" name="Connection source"/>
    <x:tableColumn id="16" name="Role source"/>
    <x:tableColumn id="17" name="Contact source"/>
    <x:tableColumn id="18" name="Lead count"/>
    <x:tableColumn id="19" name="Alternative lead names"/>
    <x:tableColumn id="20" name="Any published referral email"/>
    <x:tableColumn id="21" name="Sub MCST No"/>
    <x:tableColumn id="22" name="UEN"/>
    <x:tableColumn id="23" name="Development Location"/>
    <x:tableColumn id="24" name="Registered address"/>
    <x:tableColumn id="25" name="Latest BCA managing agent"/>
    <x:tableColumn id="26" name="Baseline contact status"/>
    <x:tableColumn id="27" name="Review notes"/>
    <x:tableColumn id="28" name="Search query 1"/>
    <x:tableColumn id="29" name="Search query 2"/>
    <x:tableColumn id="30" name="Checked on"/>
    <x:tableColumn id="31" name="Additional issue source"/>
  </x:tableColumns>
  <x:tableStyleInfo name="TableStyleLight9" showFirstColumn="0" showLastColumn="0" showRowStripes="1" showColumnStripes="0"/>
</x:table>
</file>

<file path=xl/tables/table2.xml><?xml version="1.0" encoding="utf-8"?>
<x:table xmlns:x="http://schemas.openxmlformats.org/spreadsheetml/2006/main" id="2" name="LeadsTable" displayName="LeadsTable" ref="A4:S37" headerRowCount="1" totalsRowCount="0" totalsRowShown="0">
  <x:tableColumns count="19">
    <x:tableColumn id="1" name="Lead ID"/>
    <x:tableColumn id="2" name="MCST No"/>
    <x:tableColumn id="3" name="Development Name"/>
    <x:tableColumn id="4" name="Lead name"/>
    <x:tableColumn id="5" name="Role"/>
    <x:tableColumn id="6" name="Organisation"/>
    <x:tableColumn id="7" name="Relationship"/>
    <x:tableColumn id="8" name="LinkedIn URL"/>
    <x:tableColumn id="9" name="Published business email"/>
    <x:tableColumn id="10" name="Published business phone"/>
    <x:tableColumn id="11" name="Contact scope"/>
    <x:tableColumn id="12" name="Evidence summary"/>
    <x:tableColumn id="13" name="Evidence period"/>
    <x:tableColumn id="14" name="Limitations"/>
    <x:tableColumn id="15" name="Connection source"/>
    <x:tableColumn id="16" name="Role source"/>
    <x:tableColumn id="17" name="Contact source"/>
    <x:tableColumn id="18" name="Checked on"/>
    <x:tableColumn id="19" name="Sub MCST No"/>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a48ecc6a6dec49ba" /><ns0:Relationship Id="contactLink1" Type="http://schemas.openxmlformats.org/officeDocument/2006/relationships/hyperlink" Target="https://sg.linkedin.com/in/jackie-foo90" TargetMode="External" /><ns0:Relationship Id="contactLink2" Type="http://schemas.openxmlformats.org/officeDocument/2006/relationships/hyperlink" Target="https://sg.linkedin.com/in/jackie-foo90" TargetMode="External" /><ns0:Relationship Id="contactLink3" Type="http://schemas.openxmlformats.org/officeDocument/2006/relationships/hyperlink" Target="https://sg.linkedin.com/in/jackie-foo90" TargetMode="External" /><ns0:Relationship Id="contactLink4" Type="http://schemas.openxmlformats.org/officeDocument/2006/relationships/hyperlink" Target="https://sg.linkedin.com/in/scyin" TargetMode="External" /><ns0:Relationship Id="contactLink5" Type="http://schemas.openxmlformats.org/officeDocument/2006/relationships/hyperlink" Target="https://www.bca.gov.sg/quality-housing-portal/ProjectDetail.aspx?buildtype=Private+Housing&amp;cat=Contractor&amp;name=JH+Construction+Pte+Ltd" TargetMode="External" /><ns0:Relationship Id="contactLink6" Type="http://schemas.openxmlformats.org/officeDocument/2006/relationships/hyperlink" Target="https://sg.linkedin.com/in/scyin" TargetMode="External" /><ns0:Relationship Id="contactLink7" Type="http://schemas.openxmlformats.org/officeDocument/2006/relationships/hyperlink" Target="https://lwhholdings.com.sg/development" TargetMode="External" /><ns0:Relationship Id="contactLink8" Type="http://schemas.openxmlformats.org/officeDocument/2006/relationships/hyperlink" Target="https://sg.linkedin.com/in/abdulrazakjaffar" TargetMode="External" /><ns0:Relationship Id="contactLink9" Type="http://schemas.openxmlformats.org/officeDocument/2006/relationships/hyperlink" Target="https://sg.linkedin.com/in/abdulrazakjaffar" TargetMode="External" /><ns0:Relationship Id="contactLink10" Type="http://schemas.openxmlformats.org/officeDocument/2006/relationships/hyperlink" Target="https://sg.linkedin.com/in/abdulrazakjaffar" TargetMode="External" /><ns0:Relationship Id="contactLink11" Type="http://schemas.openxmlformats.org/officeDocument/2006/relationships/hyperlink" Target="https://sg.linkedin.com/in/nic-bigday" TargetMode="External" /><ns0:Relationship Id="contactLink12" Type="http://schemas.openxmlformats.org/officeDocument/2006/relationships/hyperlink" Target="https://sg.linkedin.com/in/nic-bigday" TargetMode="External" /><ns0:Relationship Id="contactLink13" Type="http://schemas.openxmlformats.org/officeDocument/2006/relationships/hyperlink" Target="https://sg.linkedin.com/in/nic-bigday" TargetMode="External" /><ns0:Relationship Id="contactLink14" Type="http://schemas.openxmlformats.org/officeDocument/2006/relationships/hyperlink" Target="https://sg.linkedin.com/in/gabriel-sua" TargetMode="External" /><ns0:Relationship Id="contactLink15" Type="http://schemas.openxmlformats.org/officeDocument/2006/relationships/hyperlink" Target="https://sg.linkedin.com/in/gabriel-sua" TargetMode="External" /><ns0:Relationship Id="contactLink16" Type="http://schemas.openxmlformats.org/officeDocument/2006/relationships/hyperlink" Target="https://sg.linkedin.com/in/gabriel-sua" TargetMode="External" /><ns0:Relationship Id="contactLink17" Type="http://schemas.openxmlformats.org/officeDocument/2006/relationships/hyperlink" Target="https://sg.linkedin.com/in/sonia-siow-18a31b104" TargetMode="External" /><ns0:Relationship Id="contactLink18" Type="http://schemas.openxmlformats.org/officeDocument/2006/relationships/hyperlink" Target="https://sg.linkedin.com/in/sonia-siow-18a31b104" TargetMode="External" /><ns0:Relationship Id="contactLink19" Type="http://schemas.openxmlformats.org/officeDocument/2006/relationships/hyperlink" Target="https://sg.linkedin.com/in/sonia-siow-18a31b104" TargetMode="External" /><ns0:Relationship Id="contactLink20" Type="http://schemas.openxmlformats.org/officeDocument/2006/relationships/hyperlink" Target="https://sg.linkedin.com/in/patricia-lim-b4975b55" TargetMode="External" /><ns0:Relationship Id="contactLink21" Type="http://schemas.openxmlformats.org/officeDocument/2006/relationships/hyperlink" Target="https://sg.linkedin.com/in/patricia-lim-b4975b55" TargetMode="External" /><ns0:Relationship Id="contactLink22" Type="http://schemas.openxmlformats.org/officeDocument/2006/relationships/hyperlink" Target="https://sg.linkedin.com/in/patricia-lim-b4975b55" TargetMode="External" /><ns0:Relationship Id="contactLink23" Type="http://schemas.openxmlformats.org/officeDocument/2006/relationships/hyperlink" Target="https://sg.linkedin.com/in/sonia-siow-18a31b104" TargetMode="External" /><ns0:Relationship Id="contactLink24" Type="http://schemas.openxmlformats.org/officeDocument/2006/relationships/hyperlink" Target="https://sg.linkedin.com/in/sonia-siow-18a31b104" TargetMode="External" /><ns0:Relationship Id="contactLink25" Type="http://schemas.openxmlformats.org/officeDocument/2006/relationships/hyperlink" Target="https://sg.linkedin.com/in/sonia-siow-18a31b104" TargetMode="External" /><ns0:Relationship Id="contactLink26" Type="http://schemas.openxmlformats.org/officeDocument/2006/relationships/hyperlink" Target="https://sg.linkedin.com/in/elvis-ang-17170489" TargetMode="External" /><ns0:Relationship Id="contactLink27" Type="http://schemas.openxmlformats.org/officeDocument/2006/relationships/hyperlink" Target="https://sg.linkedin.com/in/elvis-ang-17170489" TargetMode="External" /><ns0:Relationship Id="contactLink28" Type="http://schemas.openxmlformats.org/officeDocument/2006/relationships/hyperlink" Target="https://sg.linkedin.com/in/elvis-ang-17170489" TargetMode="External" /><ns0:Relationship Id="contactLink29" Type="http://schemas.openxmlformats.org/officeDocument/2006/relationships/hyperlink" Target="https://sg.linkedin.com/in/johideen-mohamed" TargetMode="External" /><ns0:Relationship Id="contactLink30" Type="http://schemas.openxmlformats.org/officeDocument/2006/relationships/hyperlink" Target="https://sg.linkedin.com/in/johideen-mohamed" TargetMode="External" /><ns0:Relationship Id="contactLink31" Type="http://schemas.openxmlformats.org/officeDocument/2006/relationships/hyperlink" Target="https://sg.linkedin.com/in/johideen-mohamed" TargetMode="External" /><ns0:Relationship Id="contactLink32" Type="http://schemas.openxmlformats.org/officeDocument/2006/relationships/hyperlink" Target="https://sg.linkedin.com/in/winnie-wong-7b784a253" TargetMode="External" /><ns0:Relationship Id="contactLink33" Type="http://schemas.openxmlformats.org/officeDocument/2006/relationships/hyperlink" Target="https://www.linkedin.com/posts/savills-singapore_savillssg-savillspropertymanagement-koparatnewton-activity-7368447477047312385-GxsE" TargetMode="External" /><ns0:Relationship Id="contactLink34" Type="http://schemas.openxmlformats.org/officeDocument/2006/relationships/hyperlink" Target="https://www.savills.com.sg/services/property-management.aspx" TargetMode="External" /><ns0:Relationship Id="contactLink35" Type="http://schemas.openxmlformats.org/officeDocument/2006/relationships/hyperlink" Target="https://www.savills.com.sg/services/property-management.aspx" TargetMode="External" /><ns0:Relationship Id="contactLink36" Type="http://schemas.openxmlformats.org/officeDocument/2006/relationships/hyperlink" Target="https://sg.linkedin.com/in/silviana-oei-5b755227" TargetMode="External" /><ns0:Relationship Id="contactLink37" Type="http://schemas.openxmlformats.org/officeDocument/2006/relationships/hyperlink" Target="https://data.gov.sg/datasets/d_f988c57e16e99ad3a649aa04572efd1c/view" TargetMode="External" /><ns0:Relationship Id="contactLink38" Type="http://schemas.openxmlformats.org/officeDocument/2006/relationships/hyperlink" Target="https://sg.linkedin.com/in/silviana-oei-5b755227" TargetMode="External" /><ns0:Relationship Id="contactLink39" Type="http://schemas.openxmlformats.org/officeDocument/2006/relationships/hyperlink" Target="https://sg.linkedin.com/in/bc-sammi-lim" TargetMode="External" /><ns0:Relationship Id="contactLink40" Type="http://schemas.openxmlformats.org/officeDocument/2006/relationships/hyperlink" Target="https://www.linkedin.com/posts/bc-sammi-lim_for-sale-by-expression-of-interest-17-hongkong-activity-7230001763683024898-RZwu" TargetMode="External" /><ns0:Relationship Id="contactLink41" Type="http://schemas.openxmlformats.org/officeDocument/2006/relationships/hyperlink" Target="https://brilliancecapital.sg/about-us/" TargetMode="External" /><ns0:Relationship Id="contactLink42" Type="http://schemas.openxmlformats.org/officeDocument/2006/relationships/hyperlink" Target="https://brilliancecapital.sg/property/6930/" TargetMode="External" /><ns0:Relationship Id="contactLink43" Type="http://schemas.openxmlformats.org/officeDocument/2006/relationships/hyperlink" Target="https://sg.linkedin.com/in/sonia-siow-18a31b104" TargetMode="External" /><ns0:Relationship Id="contactLink44" Type="http://schemas.openxmlformats.org/officeDocument/2006/relationships/hyperlink" Target="https://www.linkedin.com/posts/cscec-singapore-926189194_guocomidtown-projectupdate-construction-activity-7057420018493374464-qQB2" TargetMode="External" /><ns0:Relationship Id="contactLink45" Type="http://schemas.openxmlformats.org/officeDocument/2006/relationships/hyperlink" Target="https://sg.linkedin.com/in/sonia-siow-18a31b104" TargetMode="External" /><ns0:Relationship Id="contactLink46" Type="http://schemas.openxmlformats.org/officeDocument/2006/relationships/hyperlink" Target="https://sg.linkedin.com/in/patricia-lim-b4975b55" TargetMode="External" /><ns0:Relationship Id="contactLink47" Type="http://schemas.openxmlformats.org/officeDocument/2006/relationships/hyperlink" Target="https://sg.linkedin.com/in/patricia-lim-b4975b55" TargetMode="External" /><ns0:Relationship Id="contactLink48" Type="http://schemas.openxmlformats.org/officeDocument/2006/relationships/hyperlink" Target="https://sg.linkedin.com/in/patricia-lim-b4975b55" TargetMode="External" /><ns0:Relationship Id="contactLink49" Type="http://schemas.openxmlformats.org/officeDocument/2006/relationships/hyperlink" Target="https://sg.linkedin.com/in/wayne-liow-5672a8b4" TargetMode="External" /><ns0:Relationship Id="contactLink50" Type="http://schemas.openxmlformats.org/officeDocument/2006/relationships/hyperlink" Target="https://comparemanagingagents.com/singapore/managing-agents/tri-property-asset-management/" TargetMode="External" /><ns0:Relationship Id="contactLink51" Type="http://schemas.openxmlformats.org/officeDocument/2006/relationships/hyperlink" Target="https://sg.linkedin.com/in/wayne-liow-5672a8b4" TargetMode="External" /><ns0:Relationship Id="contactLink52" Type="http://schemas.openxmlformats.org/officeDocument/2006/relationships/hyperlink" Target="https://www.asm.org.sg/accredited-strata-firms" TargetMode="External" /><ns0:Relationship Id="contactLink53" Type="http://schemas.openxmlformats.org/officeDocument/2006/relationships/hyperlink" Target="https://sg.linkedin.com/in/t-p-won-0a904034" TargetMode="External" /><ns0:Relationship Id="contactLink54" Type="http://schemas.openxmlformats.org/officeDocument/2006/relationships/hyperlink" Target="https://www.bca.gov.sg/quality-housing-portal/ProjectDetail.aspx?buildtype=Private+Housing&amp;cat=Contractor&amp;name=JH+Construction+Pte+Ltd" TargetMode="External" /><ns0:Relationship Id="contactLink55" Type="http://schemas.openxmlformats.org/officeDocument/2006/relationships/hyperlink" Target="https://www.roxypacific.com.sg/about-us/meet-our-management/" TargetMode="External" /><ns0:Relationship Id="contactLink56" Type="http://schemas.openxmlformats.org/officeDocument/2006/relationships/hyperlink" Target="https://sg.linkedin.com/in/julie-anne-rojas-0036b672" TargetMode="External" /><ns0:Relationship Id="contactLink57" Type="http://schemas.openxmlformats.org/officeDocument/2006/relationships/hyperlink" Target="https://sg.linkedin.com/in/julie-anne-rojas-0036b672" TargetMode="External" /><ns0:Relationship Id="contactLink58" Type="http://schemas.openxmlformats.org/officeDocument/2006/relationships/hyperlink" Target="https://sg.linkedin.com/in/julie-anne-rojas-0036b672" TargetMode="External" /><ns0:Relationship Id="contactLink59" Type="http://schemas.openxmlformats.org/officeDocument/2006/relationships/hyperlink" Target="https://sg.linkedin.com/in/t-p-won-0a904034" TargetMode="External" /><ns0:Relationship Id="contactLink60" Type="http://schemas.openxmlformats.org/officeDocument/2006/relationships/hyperlink" Target="https://lwhholdings.com.sg/development/neu-at-novena" TargetMode="External" /><ns0:Relationship Id="contactLink61" Type="http://schemas.openxmlformats.org/officeDocument/2006/relationships/hyperlink" Target="https://www.roxypacific.com.sg/about-us/meet-our-management/" TargetMode="External" /><ns0:Relationship Id="contactLink62" Type="http://schemas.openxmlformats.org/officeDocument/2006/relationships/hyperlink" Target="https://sg.linkedin.com/in/winnie-wong-7b784a253" TargetMode="External" /><ns0:Relationship Id="contactLink63" Type="http://schemas.openxmlformats.org/officeDocument/2006/relationships/hyperlink" Target="https://www.linkedin.com/posts/savills-singapore_savillssingapore-savillssg-savillspropertymanagement-activity-7379002830625550336-8ytU" TargetMode="External" /><ns0:Relationship Id="contactLink64" Type="http://schemas.openxmlformats.org/officeDocument/2006/relationships/hyperlink" Target="https://www.savills.com.sg/services/property-management.aspx" TargetMode="External" /><ns0:Relationship Id="contactLink65" Type="http://schemas.openxmlformats.org/officeDocument/2006/relationships/hyperlink" Target="https://www.savills.com.sg/services/property-management.aspx" TargetMode="External" /><ns0:Relationship Id="contactLink66" Type="http://schemas.openxmlformats.org/officeDocument/2006/relationships/hyperlink" Target="https://sg.linkedin.com/in/ar-cheah-ding-ding-69067a183" TargetMode="External" /><ns0:Relationship Id="contactLink67" Type="http://schemas.openxmlformats.org/officeDocument/2006/relationships/hyperlink" Target="https://sg.linkedin.com/in/ar-cheah-ding-ding-69067a183" TargetMode="External" /><ns0:Relationship Id="contactLink68" Type="http://schemas.openxmlformats.org/officeDocument/2006/relationships/hyperlink" Target="https://sg.linkedin.com/in/ar-cheah-ding-ding-69067a183" TargetMode="External" /><ns0:Relationship Id="contactLink69" Type="http://schemas.openxmlformats.org/officeDocument/2006/relationships/hyperlink" Target="https://sg.linkedin.com/in/zhengjia-michael-lim-5b0415b8" TargetMode="External" /><ns0:Relationship Id="contactLink70" Type="http://schemas.openxmlformats.org/officeDocument/2006/relationships/hyperlink" Target="https://sg.linkedin.com/in/zhengjia-michael-lim-5b0415b8" TargetMode="External" /><ns0:Relationship Id="contactLink71" Type="http://schemas.openxmlformats.org/officeDocument/2006/relationships/hyperlink" Target="https://sg.linkedin.com/in/zhengjia-michael-lim-5b0415b8" TargetMode="External" /><ns0:Relationship Id="contactLink72" Type="http://schemas.openxmlformats.org/officeDocument/2006/relationships/hyperlink" Target="https://sg.linkedin.com/in/julie-anne-rojas-0036b672" TargetMode="External" /><ns0:Relationship Id="contactLink73" Type="http://schemas.openxmlformats.org/officeDocument/2006/relationships/hyperlink" Target="https://sg.linkedin.com/in/julie-anne-rojas-0036b672" TargetMode="External" /><ns0:Relationship Id="contactLink74" Type="http://schemas.openxmlformats.org/officeDocument/2006/relationships/hyperlink" Target="https://sg.linkedin.com/in/julie-anne-rojas-0036b672" TargetMode="External" /><ns0:Relationship Id="contactLink75" Type="http://schemas.openxmlformats.org/officeDocument/2006/relationships/hyperlink" Target="https://sg.linkedin.com/in/steven-chew-a90046218z" TargetMode="External" /><ns0:Relationship Id="contactLink76" Type="http://schemas.openxmlformats.org/officeDocument/2006/relationships/hyperlink" Target="https://sg.linkedin.com/in/steven-chew-a90046218z" TargetMode="External" /><ns0:Relationship Id="contactLink77" Type="http://schemas.openxmlformats.org/officeDocument/2006/relationships/hyperlink" Target="https://sg.linkedin.com/in/steven-chew-a90046218z" TargetMode="External" /><ns0:Relationship Id="contactLink78" Type="http://schemas.openxmlformats.org/officeDocument/2006/relationships/hyperlink" Target="https://sg.linkedin.com/in/wing-yan-chang-%E9%84%AD%E8%A9%A0%E6%81%A9-8bb69113a" TargetMode="External" /><ns0:Relationship Id="contactLink79" Type="http://schemas.openxmlformats.org/officeDocument/2006/relationships/hyperlink" Target="https://data.gov.sg/datasets/d_f988c57e16e99ad3a649aa04572efd1c/view" TargetMode="External" /><ns0:Relationship Id="contactLink80" Type="http://schemas.openxmlformats.org/officeDocument/2006/relationships/hyperlink" Target="https://www.colliers.com/en-sg/countries/singapore/leadership" TargetMode="External" /><ns0:Relationship Id="contactLink81" Type="http://schemas.openxmlformats.org/officeDocument/2006/relationships/hyperlink" Target="https://www.colliers.com/en-sg/countries/singapore/leadership" TargetMode="External" /><ns0:Relationship Id="contactLink82" Type="http://schemas.openxmlformats.org/officeDocument/2006/relationships/hyperlink" Target="https://sg.linkedin.com/in/wing-yan-chang-%E9%84%AD%E8%A9%A0%E6%81%A9-8bb69113a" TargetMode="External" /><ns0:Relationship Id="contactLink83" Type="http://schemas.openxmlformats.org/officeDocument/2006/relationships/hyperlink" Target="https://data.gov.sg/datasets/d_f988c57e16e99ad3a649aa04572efd1c/view" TargetMode="External" /><ns0:Relationship Id="contactLink84" Type="http://schemas.openxmlformats.org/officeDocument/2006/relationships/hyperlink" Target="https://www.colliers.com/en-sg/countries/singapore/leadership" TargetMode="External" /><ns0:Relationship Id="contactLink85" Type="http://schemas.openxmlformats.org/officeDocument/2006/relationships/hyperlink" Target="https://www.colliers.com/en-sg/countries/singapore/leadership" TargetMode="External" /><ns0:Relationship Id="contactLink86" Type="http://schemas.openxmlformats.org/officeDocument/2006/relationships/hyperlink" Target="https://sg.linkedin.com/in/wing-yan-chang-%E9%84%AD%E8%A9%A0%E6%81%A9-8bb69113a" TargetMode="External" /><ns0:Relationship Id="contactLink87" Type="http://schemas.openxmlformats.org/officeDocument/2006/relationships/hyperlink" Target="https://data.gov.sg/datasets/d_f988c57e16e99ad3a649aa04572efd1c/view" TargetMode="External" /><ns0:Relationship Id="contactLink88" Type="http://schemas.openxmlformats.org/officeDocument/2006/relationships/hyperlink" Target="https://www.colliers.com/en-sg/countries/singapore/leadership" TargetMode="External" /><ns0:Relationship Id="contactLink89" Type="http://schemas.openxmlformats.org/officeDocument/2006/relationships/hyperlink" Target="https://www.colliers.com/en-sg/countries/singapore/leadership" TargetMode="External" /><ns0:Relationship Id="contactLink90" Type="http://schemas.openxmlformats.org/officeDocument/2006/relationships/hyperlink" Target="https://www.acra.gov.sg/docs/default-source/default-document-library/compliance/striking-off-entities/final-gazette-company-4-march-2024.pdf"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a0d1f78870184a55" /><ns0:Relationship Id="contactLink1" Type="http://schemas.openxmlformats.org/officeDocument/2006/relationships/hyperlink" Target="https://sg.linkedin.com/in/sonia-siow-18a31b104" TargetMode="External" /><ns0:Relationship Id="contactLink2" Type="http://schemas.openxmlformats.org/officeDocument/2006/relationships/hyperlink" Target="https://sg.linkedin.com/in/sonia-siow-18a31b104" TargetMode="External" /><ns0:Relationship Id="contactLink3" Type="http://schemas.openxmlformats.org/officeDocument/2006/relationships/hyperlink" Target="https://sg.linkedin.com/in/sonia-siow-18a31b104" TargetMode="External" /><ns0:Relationship Id="contactLink4" Type="http://schemas.openxmlformats.org/officeDocument/2006/relationships/hyperlink" Target="https://sg.linkedin.com/in/sonia-siow-18a31b104" TargetMode="External" /><ns0:Relationship Id="contactLink5" Type="http://schemas.openxmlformats.org/officeDocument/2006/relationships/hyperlink" Target="https://sg.linkedin.com/in/sonia-siow-18a31b104" TargetMode="External" /><ns0:Relationship Id="contactLink6" Type="http://schemas.openxmlformats.org/officeDocument/2006/relationships/hyperlink" Target="https://sg.linkedin.com/in/sonia-siow-18a31b104" TargetMode="External" /><ns0:Relationship Id="contactLink7" Type="http://schemas.openxmlformats.org/officeDocument/2006/relationships/hyperlink" Target="https://sg.linkedin.com/in/sonia-siow-18a31b104" TargetMode="External" /><ns0:Relationship Id="contactLink8" Type="http://schemas.openxmlformats.org/officeDocument/2006/relationships/hyperlink" Target="https://www.linkedin.com/posts/cscec-singapore-926189194_guocomidtown-projectupdate-construction-activity-7057420018493374464-qQB2" TargetMode="External" /><ns0:Relationship Id="contactLink9" Type="http://schemas.openxmlformats.org/officeDocument/2006/relationships/hyperlink" Target="https://sg.linkedin.com/in/sonia-siow-18a31b104" TargetMode="External" /><ns0:Relationship Id="contactLink10" Type="http://schemas.openxmlformats.org/officeDocument/2006/relationships/hyperlink" Target="https://sg.linkedin.com/in/wenshan-zhao-542b43310" TargetMode="External" /><ns0:Relationship Id="contactLink11" Type="http://schemas.openxmlformats.org/officeDocument/2006/relationships/hyperlink" Target="https://sg.linkedin.com/in/wenshan-zhao-542b43310" TargetMode="External" /><ns0:Relationship Id="contactLink12" Type="http://schemas.openxmlformats.org/officeDocument/2006/relationships/hyperlink" Target="https://sg.linkedin.com/in/wenshan-zhao-542b43310" TargetMode="External" /><ns0:Relationship Id="contactLink13" Type="http://schemas.openxmlformats.org/officeDocument/2006/relationships/hyperlink" Target="https://sg.linkedin.com/in/wenshan-zhao-542b43310" TargetMode="External" /><ns0:Relationship Id="contactLink14" Type="http://schemas.openxmlformats.org/officeDocument/2006/relationships/hyperlink" Target="https://sg.linkedin.com/in/wenshan-zhao-542b43310" TargetMode="External" /><ns0:Relationship Id="contactLink15" Type="http://schemas.openxmlformats.org/officeDocument/2006/relationships/hyperlink" Target="https://sg.linkedin.com/in/wenshan-zhao-542b43310" TargetMode="External" /><ns0:Relationship Id="contactLink16" Type="http://schemas.openxmlformats.org/officeDocument/2006/relationships/hyperlink" Target="https://sg.linkedin.com/in/wenshan-zhao-542b43310" TargetMode="External" /><ns0:Relationship Id="contactLink17" Type="http://schemas.openxmlformats.org/officeDocument/2006/relationships/hyperlink" Target="https://sg.linkedin.com/in/wenshan-zhao-542b43310" TargetMode="External" /><ns0:Relationship Id="contactLink18" Type="http://schemas.openxmlformats.org/officeDocument/2006/relationships/hyperlink" Target="https://sg.linkedin.com/in/wenshan-zhao-542b43310" TargetMode="External" /><ns0:Relationship Id="contactLink19" Type="http://schemas.openxmlformats.org/officeDocument/2006/relationships/hyperlink" Target="https://sg.linkedin.com/in/patricia-lim-b4975b55" TargetMode="External" /><ns0:Relationship Id="contactLink20" Type="http://schemas.openxmlformats.org/officeDocument/2006/relationships/hyperlink" Target="https://sg.linkedin.com/in/patricia-lim-b4975b55" TargetMode="External" /><ns0:Relationship Id="contactLink21" Type="http://schemas.openxmlformats.org/officeDocument/2006/relationships/hyperlink" Target="https://sg.linkedin.com/in/patricia-lim-b4975b55" TargetMode="External" /><ns0:Relationship Id="contactLink22" Type="http://schemas.openxmlformats.org/officeDocument/2006/relationships/hyperlink" Target="https://sg.linkedin.com/in/patricia-lim-b4975b55" TargetMode="External" /><ns0:Relationship Id="contactLink23" Type="http://schemas.openxmlformats.org/officeDocument/2006/relationships/hyperlink" Target="https://sg.linkedin.com/in/patricia-lim-b4975b55" TargetMode="External" /><ns0:Relationship Id="contactLink24" Type="http://schemas.openxmlformats.org/officeDocument/2006/relationships/hyperlink" Target="https://sg.linkedin.com/in/patricia-lim-b4975b55" TargetMode="External" /><ns0:Relationship Id="contactLink25" Type="http://schemas.openxmlformats.org/officeDocument/2006/relationships/hyperlink" Target="https://sg.linkedin.com/in/wing-yan-chang-%E9%84%AD%E8%A9%A0%E6%81%A9-8bb69113a" TargetMode="External" /><ns0:Relationship Id="contactLink26" Type="http://schemas.openxmlformats.org/officeDocument/2006/relationships/hyperlink" Target="https://data.gov.sg/datasets/d_f988c57e16e99ad3a649aa04572efd1c/view" TargetMode="External" /><ns0:Relationship Id="contactLink27" Type="http://schemas.openxmlformats.org/officeDocument/2006/relationships/hyperlink" Target="https://www.colliers.com/en-sg/countries/singapore/leadership" TargetMode="External" /><ns0:Relationship Id="contactLink28" Type="http://schemas.openxmlformats.org/officeDocument/2006/relationships/hyperlink" Target="https://www.colliers.com/en-sg/countries/singapore/leadership" TargetMode="External" /><ns0:Relationship Id="contactLink29" Type="http://schemas.openxmlformats.org/officeDocument/2006/relationships/hyperlink" Target="https://sg.linkedin.com/in/wing-yan-chang-%E9%84%AD%E8%A9%A0%E6%81%A9-8bb69113a" TargetMode="External" /><ns0:Relationship Id="contactLink30" Type="http://schemas.openxmlformats.org/officeDocument/2006/relationships/hyperlink" Target="https://data.gov.sg/datasets/d_f988c57e16e99ad3a649aa04572efd1c/view" TargetMode="External" /><ns0:Relationship Id="contactLink31" Type="http://schemas.openxmlformats.org/officeDocument/2006/relationships/hyperlink" Target="https://www.colliers.com/en-sg/countries/singapore/leadership" TargetMode="External" /><ns0:Relationship Id="contactLink32" Type="http://schemas.openxmlformats.org/officeDocument/2006/relationships/hyperlink" Target="https://www.colliers.com/en-sg/countries/singapore/leadership" TargetMode="External" /><ns0:Relationship Id="contactLink33" Type="http://schemas.openxmlformats.org/officeDocument/2006/relationships/hyperlink" Target="https://sg.linkedin.com/in/wing-yan-chang-%E9%84%AD%E8%A9%A0%E6%81%A9-8bb69113a" TargetMode="External" /><ns0:Relationship Id="contactLink34" Type="http://schemas.openxmlformats.org/officeDocument/2006/relationships/hyperlink" Target="https://data.gov.sg/datasets/d_f988c57e16e99ad3a649aa04572efd1c/view" TargetMode="External" /><ns0:Relationship Id="contactLink35" Type="http://schemas.openxmlformats.org/officeDocument/2006/relationships/hyperlink" Target="https://www.colliers.com/en-sg/countries/singapore/leadership" TargetMode="External" /><ns0:Relationship Id="contactLink36" Type="http://schemas.openxmlformats.org/officeDocument/2006/relationships/hyperlink" Target="https://www.colliers.com/en-sg/countries/singapore/leadership" TargetMode="External" /><ns0:Relationship Id="contactLink37" Type="http://schemas.openxmlformats.org/officeDocument/2006/relationships/hyperlink" Target="https://sg.linkedin.com/in/silviana-oei-5b755227" TargetMode="External" /><ns0:Relationship Id="contactLink38" Type="http://schemas.openxmlformats.org/officeDocument/2006/relationships/hyperlink" Target="https://data.gov.sg/datasets/d_f988c57e16e99ad3a649aa04572efd1c/view" TargetMode="External" /><ns0:Relationship Id="contactLink39" Type="http://schemas.openxmlformats.org/officeDocument/2006/relationships/hyperlink" Target="https://sg.linkedin.com/in/silviana-oei-5b755227" TargetMode="External" /><ns0:Relationship Id="contactLink40" Type="http://schemas.openxmlformats.org/officeDocument/2006/relationships/hyperlink" Target="https://sg.linkedin.com/in/winnie-wong-7b784a253" TargetMode="External" /><ns0:Relationship Id="contactLink41" Type="http://schemas.openxmlformats.org/officeDocument/2006/relationships/hyperlink" Target="https://www.linkedin.com/posts/savills-singapore_savillssg-savillspropertymanagement-koparatnewton-activity-7368447477047312385-GxsE" TargetMode="External" /><ns0:Relationship Id="contactLink42" Type="http://schemas.openxmlformats.org/officeDocument/2006/relationships/hyperlink" Target="https://www.savills.com.sg/services/property-management.aspx" TargetMode="External" /><ns0:Relationship Id="contactLink43" Type="http://schemas.openxmlformats.org/officeDocument/2006/relationships/hyperlink" Target="https://www.savills.com.sg/services/property-management.aspx" TargetMode="External" /><ns0:Relationship Id="contactLink44" Type="http://schemas.openxmlformats.org/officeDocument/2006/relationships/hyperlink" Target="https://sg.linkedin.com/in/winnie-wong-7b784a253" TargetMode="External" /><ns0:Relationship Id="contactLink45" Type="http://schemas.openxmlformats.org/officeDocument/2006/relationships/hyperlink" Target="https://www.linkedin.com/posts/savills-singapore_savillssingapore-savillssg-savillspropertymanagement-activity-7379002830625550336-8ytU" TargetMode="External" /><ns0:Relationship Id="contactLink46" Type="http://schemas.openxmlformats.org/officeDocument/2006/relationships/hyperlink" Target="https://www.savills.com.sg/services/property-management.aspx" TargetMode="External" /><ns0:Relationship Id="contactLink47" Type="http://schemas.openxmlformats.org/officeDocument/2006/relationships/hyperlink" Target="https://www.savills.com.sg/services/property-management.aspx" TargetMode="External" /><ns0:Relationship Id="contactLink48" Type="http://schemas.openxmlformats.org/officeDocument/2006/relationships/hyperlink" Target="https://sg.linkedin.com/in/steven-chew-a90046218z" TargetMode="External" /><ns0:Relationship Id="contactLink49" Type="http://schemas.openxmlformats.org/officeDocument/2006/relationships/hyperlink" Target="https://sg.linkedin.com/in/steven-chew-a90046218z" TargetMode="External" /><ns0:Relationship Id="contactLink50" Type="http://schemas.openxmlformats.org/officeDocument/2006/relationships/hyperlink" Target="https://sg.linkedin.com/in/steven-chew-a90046218z" TargetMode="External" /><ns0:Relationship Id="contactLink51" Type="http://schemas.openxmlformats.org/officeDocument/2006/relationships/hyperlink" Target="https://sg.linkedin.com/in/steven-chew-a90046218z" TargetMode="External" /><ns0:Relationship Id="contactLink52" Type="http://schemas.openxmlformats.org/officeDocument/2006/relationships/hyperlink" Target="https://sg.linkedin.com/in/steven-chew-a90046218z" TargetMode="External" /><ns0:Relationship Id="contactLink53" Type="http://schemas.openxmlformats.org/officeDocument/2006/relationships/hyperlink" Target="https://sg.linkedin.com/in/steven-chew-a90046218z" TargetMode="External" /><ns0:Relationship Id="contactLink54" Type="http://schemas.openxmlformats.org/officeDocument/2006/relationships/hyperlink" Target="https://sg.linkedin.com/in/teck-hock-tee-2b581629" TargetMode="External" /><ns0:Relationship Id="contactLink55" Type="http://schemas.openxmlformats.org/officeDocument/2006/relationships/hyperlink" Target="https://sg.linkedin.com/in/teck-hock-tee-2b581629" TargetMode="External" /><ns0:Relationship Id="contactLink56" Type="http://schemas.openxmlformats.org/officeDocument/2006/relationships/hyperlink" Target="https://sg.linkedin.com/in/teck-hock-tee-2b581629" TargetMode="External" /><ns0:Relationship Id="contactLink57" Type="http://schemas.openxmlformats.org/officeDocument/2006/relationships/hyperlink" Target="https://sg.linkedin.com/in/abdulrazakjaffar" TargetMode="External" /><ns0:Relationship Id="contactLink58" Type="http://schemas.openxmlformats.org/officeDocument/2006/relationships/hyperlink" Target="https://sg.linkedin.com/in/abdulrazakjaffar" TargetMode="External" /><ns0:Relationship Id="contactLink59" Type="http://schemas.openxmlformats.org/officeDocument/2006/relationships/hyperlink" Target="https://sg.linkedin.com/in/abdulrazakjaffar" TargetMode="External" /><ns0:Relationship Id="contactLink60" Type="http://schemas.openxmlformats.org/officeDocument/2006/relationships/hyperlink" Target="https://sg.linkedin.com/in/julie-anne-rojas-0036b672" TargetMode="External" /><ns0:Relationship Id="contactLink61" Type="http://schemas.openxmlformats.org/officeDocument/2006/relationships/hyperlink" Target="https://sg.linkedin.com/in/julie-anne-rojas-0036b672" TargetMode="External" /><ns0:Relationship Id="contactLink62" Type="http://schemas.openxmlformats.org/officeDocument/2006/relationships/hyperlink" Target="https://sg.linkedin.com/in/julie-anne-rojas-0036b672" TargetMode="External" /><ns0:Relationship Id="contactLink63" Type="http://schemas.openxmlformats.org/officeDocument/2006/relationships/hyperlink" Target="https://sg.linkedin.com/in/julie-anne-rojas-0036b672" TargetMode="External" /><ns0:Relationship Id="contactLink64" Type="http://schemas.openxmlformats.org/officeDocument/2006/relationships/hyperlink" Target="https://sg.linkedin.com/in/julie-anne-rojas-0036b672" TargetMode="External" /><ns0:Relationship Id="contactLink65" Type="http://schemas.openxmlformats.org/officeDocument/2006/relationships/hyperlink" Target="https://sg.linkedin.com/in/julie-anne-rojas-0036b672" TargetMode="External" /><ns0:Relationship Id="contactLink66" Type="http://schemas.openxmlformats.org/officeDocument/2006/relationships/hyperlink" Target="https://sg.linkedin.com/in/elvis-ang-17170489" TargetMode="External" /><ns0:Relationship Id="contactLink67" Type="http://schemas.openxmlformats.org/officeDocument/2006/relationships/hyperlink" Target="https://sg.linkedin.com/in/elvis-ang-17170489" TargetMode="External" /><ns0:Relationship Id="contactLink68" Type="http://schemas.openxmlformats.org/officeDocument/2006/relationships/hyperlink" Target="https://sg.linkedin.com/in/elvis-ang-17170489" TargetMode="External" /><ns0:Relationship Id="contactLink69" Type="http://schemas.openxmlformats.org/officeDocument/2006/relationships/hyperlink" Target="https://sg.linkedin.com/in/jackie-foo90" TargetMode="External" /><ns0:Relationship Id="contactLink70" Type="http://schemas.openxmlformats.org/officeDocument/2006/relationships/hyperlink" Target="https://sg.linkedin.com/in/jackie-foo90" TargetMode="External" /><ns0:Relationship Id="contactLink71" Type="http://schemas.openxmlformats.org/officeDocument/2006/relationships/hyperlink" Target="https://sg.linkedin.com/in/jackie-foo90" TargetMode="External" /><ns0:Relationship Id="contactLink72" Type="http://schemas.openxmlformats.org/officeDocument/2006/relationships/hyperlink" Target="https://sg.linkedin.com/in/nic-bigday" TargetMode="External" /><ns0:Relationship Id="contactLink73" Type="http://schemas.openxmlformats.org/officeDocument/2006/relationships/hyperlink" Target="https://sg.linkedin.com/in/nic-bigday" TargetMode="External" /><ns0:Relationship Id="contactLink74" Type="http://schemas.openxmlformats.org/officeDocument/2006/relationships/hyperlink" Target="https://sg.linkedin.com/in/nic-bigday" TargetMode="External" /><ns0:Relationship Id="contactLink75" Type="http://schemas.openxmlformats.org/officeDocument/2006/relationships/hyperlink" Target="https://sg.linkedin.com/in/johideen-mohamed" TargetMode="External" /><ns0:Relationship Id="contactLink76" Type="http://schemas.openxmlformats.org/officeDocument/2006/relationships/hyperlink" Target="https://sg.linkedin.com/in/johideen-mohamed" TargetMode="External" /><ns0:Relationship Id="contactLink77" Type="http://schemas.openxmlformats.org/officeDocument/2006/relationships/hyperlink" Target="https://sg.linkedin.com/in/johideen-mohamed" TargetMode="External" /><ns0:Relationship Id="contactLink78" Type="http://schemas.openxmlformats.org/officeDocument/2006/relationships/hyperlink" Target="https://sg.linkedin.com/in/ar-cheah-ding-ding-69067a183" TargetMode="External" /><ns0:Relationship Id="contactLink79" Type="http://schemas.openxmlformats.org/officeDocument/2006/relationships/hyperlink" Target="https://sg.linkedin.com/in/ar-cheah-ding-ding-69067a183" TargetMode="External" /><ns0:Relationship Id="contactLink80" Type="http://schemas.openxmlformats.org/officeDocument/2006/relationships/hyperlink" Target="https://sg.linkedin.com/in/ar-cheah-ding-ding-69067a183" TargetMode="External" /><ns0:Relationship Id="contactLink81" Type="http://schemas.openxmlformats.org/officeDocument/2006/relationships/hyperlink" Target="https://sg.linkedin.com/in/gabriel-sua" TargetMode="External" /><ns0:Relationship Id="contactLink82" Type="http://schemas.openxmlformats.org/officeDocument/2006/relationships/hyperlink" Target="https://sg.linkedin.com/in/gabriel-sua" TargetMode="External" /><ns0:Relationship Id="contactLink83" Type="http://schemas.openxmlformats.org/officeDocument/2006/relationships/hyperlink" Target="https://sg.linkedin.com/in/gabriel-sua" TargetMode="External" /><ns0:Relationship Id="contactLink84" Type="http://schemas.openxmlformats.org/officeDocument/2006/relationships/hyperlink" Target="https://sg.linkedin.com/in/zhengjia-michael-lim-5b0415b8" TargetMode="External" /><ns0:Relationship Id="contactLink85" Type="http://schemas.openxmlformats.org/officeDocument/2006/relationships/hyperlink" Target="https://sg.linkedin.com/in/zhengjia-michael-lim-5b0415b8" TargetMode="External" /><ns0:Relationship Id="contactLink86" Type="http://schemas.openxmlformats.org/officeDocument/2006/relationships/hyperlink" Target="https://sg.linkedin.com/in/zhengjia-michael-lim-5b0415b8" TargetMode="External" /><ns0:Relationship Id="contactLink87" Type="http://schemas.openxmlformats.org/officeDocument/2006/relationships/hyperlink" Target="https://sg.linkedin.com/in/bc-sammi-lim" TargetMode="External" /><ns0:Relationship Id="contactLink88" Type="http://schemas.openxmlformats.org/officeDocument/2006/relationships/hyperlink" Target="https://www.linkedin.com/posts/bc-sammi-lim_for-sale-by-expression-of-interest-17-hongkong-activity-7230001763683024898-RZwu" TargetMode="External" /><ns0:Relationship Id="contactLink89" Type="http://schemas.openxmlformats.org/officeDocument/2006/relationships/hyperlink" Target="https://brilliancecapital.sg/about-us/" TargetMode="External" /><ns0:Relationship Id="contactLink90" Type="http://schemas.openxmlformats.org/officeDocument/2006/relationships/hyperlink" Target="https://brilliancecapital.sg/property/6930/" TargetMode="External" /><ns0:Relationship Id="contactLink91" Type="http://schemas.openxmlformats.org/officeDocument/2006/relationships/hyperlink" Target="https://sg.linkedin.com/in/scyin" TargetMode="External" /><ns0:Relationship Id="contactLink92" Type="http://schemas.openxmlformats.org/officeDocument/2006/relationships/hyperlink" Target="https://www.bca.gov.sg/quality-housing-portal/ProjectDetail.aspx?buildtype=Private+Housing&amp;cat=Contractor&amp;name=JH+Construction+Pte+Ltd" TargetMode="External" /><ns0:Relationship Id="contactLink93" Type="http://schemas.openxmlformats.org/officeDocument/2006/relationships/hyperlink" Target="https://sg.linkedin.com/in/scyin" TargetMode="External" /><ns0:Relationship Id="contactLink94" Type="http://schemas.openxmlformats.org/officeDocument/2006/relationships/hyperlink" Target="https://lwhholdings.com.sg/development" TargetMode="External" /><ns0:Relationship Id="contactLink95" Type="http://schemas.openxmlformats.org/officeDocument/2006/relationships/hyperlink" Target="https://sg.linkedin.com/in/t-p-won-0a904034" TargetMode="External" /><ns0:Relationship Id="contactLink96" Type="http://schemas.openxmlformats.org/officeDocument/2006/relationships/hyperlink" Target="https://www.bca.gov.sg/quality-housing-portal/ProjectDetail.aspx?buildtype=Private+Housing&amp;cat=Contractor&amp;name=JH+Construction+Pte+Ltd" TargetMode="External" /><ns0:Relationship Id="contactLink97" Type="http://schemas.openxmlformats.org/officeDocument/2006/relationships/hyperlink" Target="https://www.roxypacific.com.sg/about-us/meet-our-management/" TargetMode="External" /><ns0:Relationship Id="contactLink98" Type="http://schemas.openxmlformats.org/officeDocument/2006/relationships/hyperlink" Target="https://sg.linkedin.com/in/t-p-won-0a904034" TargetMode="External" /><ns0:Relationship Id="contactLink99" Type="http://schemas.openxmlformats.org/officeDocument/2006/relationships/hyperlink" Target="https://lwhholdings.com.sg/development/neu-at-novena" TargetMode="External" /><ns0:Relationship Id="contactLink100" Type="http://schemas.openxmlformats.org/officeDocument/2006/relationships/hyperlink" Target="https://www.roxypacific.com.sg/about-us/meet-our-management/" TargetMode="External" /><ns0:Relationship Id="contactLink101" Type="http://schemas.openxmlformats.org/officeDocument/2006/relationships/hyperlink" Target="https://sg.linkedin.com/in/scyin" TargetMode="External" /><ns0:Relationship Id="contactLink102" Type="http://schemas.openxmlformats.org/officeDocument/2006/relationships/hyperlink" Target="https://lwhholdings.com.sg/development/neu-at-novena" TargetMode="External" /><ns0:Relationship Id="contactLink103" Type="http://schemas.openxmlformats.org/officeDocument/2006/relationships/hyperlink" Target="https://sg.linkedin.com/in/scyin" TargetMode="External" /><ns0:Relationship Id="contactLink104" Type="http://schemas.openxmlformats.org/officeDocument/2006/relationships/hyperlink" Target="https://lwhholdings.com.sg/development" TargetMode="External" /><ns0:Relationship Id="contactLink105" Type="http://schemas.openxmlformats.org/officeDocument/2006/relationships/hyperlink" Target="https://sg.linkedin.com/in/wayne-liow-5672a8b4" TargetMode="External" /><ns0:Relationship Id="contactLink106" Type="http://schemas.openxmlformats.org/officeDocument/2006/relationships/hyperlink" Target="https://comparemanagingagents.com/singapore/managing-agents/tri-property-asset-management/" TargetMode="External" /><ns0:Relationship Id="contactLink107" Type="http://schemas.openxmlformats.org/officeDocument/2006/relationships/hyperlink" Target="https://sg.linkedin.com/in/wayne-liow-5672a8b4" TargetMode="External" /><ns0:Relationship Id="contactLink108" Type="http://schemas.openxmlformats.org/officeDocument/2006/relationships/hyperlink" Target="https://www.asm.org.sg/accredited-strata-firms" TargetMode="External" /></ns0:Relationships>
</file>

<file path=xl/worksheets/_rels/sheet3.xml.rels><?xml version='1.0' encoding='utf-8'?>
<ns0:Relationships xmlns:ns0="http://schemas.openxmlformats.org/package/2006/relationships"><ns0:Relationship Id="contactLink1" Type="http://schemas.openxmlformats.org/officeDocument/2006/relationships/hyperlink" Target="https://data.gov.sg/datasets/d_1f9391a2f1476cdaf4f05a8d3a05c257/view" TargetMode="External" /><ns0:Relationship Id="contactLink2" Type="http://schemas.openxmlformats.org/officeDocument/2006/relationships/hyperlink" Target="https://data.gov.sg/datasets/d_f988c57e16e99ad3a649aa04572efd1c/view"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11" hidden="0" customWidth="1"/>
    <col min="2" max="2" width="29" hidden="0" customWidth="1"/>
    <col min="3" max="3" width="25" hidden="0" customWidth="1"/>
    <col min="4" max="4" width="27" hidden="0" customWidth="1"/>
    <col min="5" max="5" width="42" hidden="0" customWidth="1"/>
    <col min="6" max="6" width="37" hidden="0" customWidth="1"/>
    <col min="7" max="7" width="34" hidden="0" customWidth="1"/>
    <col min="8" max="8" width="40" hidden="0" customWidth="1"/>
    <col min="9" max="9" width="22" hidden="0" customWidth="1"/>
    <col min="10" max="10" width="58" hidden="0" customWidth="1"/>
    <col min="11" max="11" width="47" hidden="0" customWidth="1"/>
    <col min="12" max="12" width="62" hidden="0" customWidth="1"/>
    <col min="13" max="13" width="37" hidden="0" customWidth="1"/>
    <col min="14" max="14" width="72" hidden="0" customWidth="1"/>
    <col min="15" max="15" width="68" hidden="0" customWidth="1"/>
    <col min="16" max="16" width="68" hidden="0" customWidth="1"/>
    <col min="17" max="17" width="68" hidden="0" customWidth="1"/>
    <col min="18" max="18" width="12" hidden="0" customWidth="1"/>
    <col min="19" max="19" width="36" hidden="0" customWidth="1"/>
    <col min="20" max="20" width="26" hidden="0" customWidth="1"/>
    <col min="21" max="21" width="13" hidden="0" customWidth="1"/>
    <col min="22" max="22" width="21" hidden="0" customWidth="1"/>
    <col min="23" max="23" width="45" hidden="0" customWidth="1"/>
    <col min="24" max="24" width="49" hidden="0" customWidth="1"/>
    <col min="25" max="25" width="42" hidden="0" customWidth="1"/>
    <col min="26" max="26" width="35" hidden="0" customWidth="1"/>
    <col min="27" max="27" width="70" hidden="0" customWidth="1"/>
    <col min="28" max="28" width="72" hidden="0" customWidth="1"/>
    <col min="29" max="29" width="72" hidden="0" customWidth="1"/>
    <col min="30" max="30" width="18" hidden="0" customWidth="1"/>
    <col min="31" max="31" width="70" hidden="0" customWidth="1"/>
  </cols>
  <sheetData>
    <row r="1" ht="23" customHeight="1">
      <c r="A1" s="14" t="str">
        <v>MCST LinkedIn contact follow-up</v>
      </c>
    </row>
    <row r="2" ht="23" customHeight="1">
      <c r="A2" s="15" t="str">
        <v>109 records without phone or email in the 2 October snapshot. Research checked on 3 October 2026.</v>
      </c>
    </row>
    <row r="4" ht="42" customHeight="1">
      <c r="A4" s="8" t="str">
        <v>MCST No</v>
      </c>
      <c r="B4" s="9" t="str">
        <v>Development Name</v>
      </c>
      <c r="C4" s="9" t="str">
        <v>Lead name</v>
      </c>
      <c r="D4" s="9" t="str">
        <v>LinkedIn search outcome</v>
      </c>
      <c r="E4" s="9" t="str">
        <v>Role</v>
      </c>
      <c r="F4" s="9" t="str">
        <v>Organisation</v>
      </c>
      <c r="G4" s="9" t="str">
        <v>Relationship</v>
      </c>
      <c r="H4" s="9" t="str">
        <v>Published business email</v>
      </c>
      <c r="I4" s="9" t="str">
        <v>Published business phone</v>
      </c>
      <c r="J4" s="9" t="str">
        <v>LinkedIn URL</v>
      </c>
      <c r="K4" s="9" t="str">
        <v>Contact scope</v>
      </c>
      <c r="L4" s="9" t="str">
        <v>Evidence summary</v>
      </c>
      <c r="M4" s="9" t="str">
        <v>Evidence period</v>
      </c>
      <c r="N4" s="9" t="str">
        <v>Limitations</v>
      </c>
      <c r="O4" s="9" t="str">
        <v>Connection source</v>
      </c>
      <c r="P4" s="9" t="str">
        <v>Role source</v>
      </c>
      <c r="Q4" s="9" t="str">
        <v>Contact source</v>
      </c>
      <c r="R4" s="9" t="str">
        <v>Lead count</v>
      </c>
      <c r="S4" s="9" t="str">
        <v>Alternative lead names</v>
      </c>
      <c r="T4" s="9" t="str">
        <v>Any published referral email</v>
      </c>
      <c r="U4" s="9" t="str">
        <v>Sub MCST No</v>
      </c>
      <c r="V4" s="9" t="str">
        <v>UEN</v>
      </c>
      <c r="W4" s="9" t="str">
        <v>Development Location</v>
      </c>
      <c r="X4" s="9" t="str">
        <v>Registered address</v>
      </c>
      <c r="Y4" s="9" t="str">
        <v>Latest BCA managing agent</v>
      </c>
      <c r="Z4" s="9" t="str">
        <v>Baseline contact status</v>
      </c>
      <c r="AA4" s="9" t="str">
        <v>Review notes</v>
      </c>
      <c r="AB4" s="9" t="str">
        <v>Search query 1</v>
      </c>
      <c r="AC4" s="9" t="str">
        <v>Search query 2</v>
      </c>
      <c r="AD4" s="9" t="str">
        <v>Checked on</v>
      </c>
      <c r="AE4" s="10" t="str">
        <v>Additional issue source</v>
      </c>
    </row>
    <row r="5" ht="50" customHeight="1">
      <c r="A5" s="4" t="str">
        <v>4989</v>
      </c>
      <c r="B5" s="4" t="str">
        <v>35 GILSTEAD</v>
      </c>
      <c r="C5" s="4" t="str">
        <v>Jackie Foo</v>
      </c>
      <c r="D5" s="4" t="str">
        <v>Referral lead found</v>
      </c>
      <c r="E5" s="4" t="str">
        <v>Landscape design and project-delivery professional</v>
      </c>
      <c r="F5" s="4" t="str">
        <v>Tinderbox Landscape Studio Pte Ltd</v>
      </c>
      <c r="G5" s="4" t="str">
        <v>Project / consultant referral</v>
      </c>
      <c r="H5" s="4" t="str"/>
      <c r="I5" s="4" t="str"/>
      <c r="J5" s="11" t="str">
        <v>https://sg.linkedin.com/in/jackie-foo90</v>
      </c>
      <c r="K5" s="4" t="str">
        <v>LinkedIn profile only</v>
      </c>
      <c r="L5" s="4" t="str">
        <v>The 35 Gilstead project entry describes landscape delivery, tender and procurement work.</v>
      </c>
      <c r="M5" s="4" t="str">
        <v>October 2018 to Present (profile wording)</v>
      </c>
      <c r="N5" s="4" t="str">
        <v>Landscape-package referral. The profile’s Present label does not independently confirm a current assignment.</v>
      </c>
      <c r="O5" s="11" t="str">
        <v>https://sg.linkedin.com/in/jackie-foo90</v>
      </c>
      <c r="P5" s="11" t="str">
        <v>https://sg.linkedin.com/in/jackie-foo90</v>
      </c>
      <c r="Q5" s="11" t="str"/>
      <c r="R5" s="12" t="n">
        <v>1</v>
      </c>
      <c r="S5" s="4" t="str"/>
      <c r="T5" s="4" t="str">
        <v>No published email found</v>
      </c>
      <c r="U5" s="4" t="str">
        <v>NA</v>
      </c>
      <c r="V5" s="4" t="str">
        <v>T26MC0004E</v>
      </c>
      <c r="W5" s="4" t="str">
        <v>NA</v>
      </c>
      <c r="X5" s="4" t="str">
        <v>11 SAM LEONG ROAD 03-06 TRIO 207903</v>
      </c>
      <c r="Y5" s="4" t="str">
        <v>NA</v>
      </c>
      <c r="Z5" s="4" t="str">
        <v>No usable phone or email found</v>
      </c>
      <c r="AA5" s="4" t="str">
        <v>Use Leads for all candidates. Published roles and connections do not confirm current on-site responsibility.</v>
      </c>
      <c r="AB5" s="4" t="str">
        <v>site:linkedin.com/in "35 GILSTEAD" Singapore (manager OR management OR facilities OR "quantity surveyor" OR director)</v>
      </c>
      <c r="AC5" s="4" t="str">
        <v>site:linkedin.com "35 GILSTEAD" Singapore</v>
      </c>
      <c r="AD5" s="13" t="n">
        <v>46298</v>
      </c>
      <c r="AE5" s="11" t="str"/>
    </row>
    <row r="6" ht="50" customHeight="1">
      <c r="A6" s="4" t="str">
        <v>4956</v>
      </c>
      <c r="B6" s="4" t="str">
        <v>Baywind Residences</v>
      </c>
      <c r="C6" s="4" t="str">
        <v>Su Cherry Yin</v>
      </c>
      <c r="D6" s="4" t="str">
        <v>Referral lead found</v>
      </c>
      <c r="E6" s="4" t="str">
        <v>Title not publicly visible</v>
      </c>
      <c r="F6" s="4" t="str">
        <v>LWH Holdings Pte Ltd</v>
      </c>
      <c r="G6" s="4" t="str">
        <v>Developer company referral</v>
      </c>
      <c r="H6" s="4" t="str">
        <v>lwh@lwhholdings.com.sg</v>
      </c>
      <c r="I6" s="4" t="str">
        <v>+65 6742 9133</v>
      </c>
      <c r="J6" s="11" t="str">
        <v>https://sg.linkedin.com/in/scyin</v>
      </c>
      <c r="K6" s="4" t="str">
        <v>Shared developer enquiries, not the person’s direct contact</v>
      </c>
      <c r="L6" s="4" t="str">
        <v>Profile lists LWH Holdings. BCA’s quality-housing listing identifies LWH and ABR as Baywind developers.</v>
      </c>
      <c r="M6" s="4" t="str">
        <v>Not publicly dated</v>
      </c>
      <c r="N6" s="4" t="str">
        <v>Developer-company affiliation only. The person’s role and Baywind assignment are not established; request the project or property-management team.</v>
      </c>
      <c r="O6" s="11" t="str">
        <v>https://www.bca.gov.sg/quality-housing-portal/ProjectDetail.aspx?buildtype=Private+Housing&amp;cat=Contractor&amp;name=JH+Construction+Pte+Ltd</v>
      </c>
      <c r="P6" s="11" t="str">
        <v>https://sg.linkedin.com/in/scyin</v>
      </c>
      <c r="Q6" s="11" t="str">
        <v>https://lwhholdings.com.sg/development</v>
      </c>
      <c r="R6" s="12" t="n">
        <v>1</v>
      </c>
      <c r="S6" s="4" t="str"/>
      <c r="T6" s="4" t="str">
        <v>Yes</v>
      </c>
      <c r="U6" s="4" t="str">
        <v>NA</v>
      </c>
      <c r="V6" s="4" t="str">
        <v>TM25MC0025F</v>
      </c>
      <c r="W6" s="4" t="str">
        <v>NA</v>
      </c>
      <c r="X6" s="4" t="str">
        <v>41 KIM CHUAN DRIVE 06-00 Lim Wen Heng Building 537091</v>
      </c>
      <c r="Y6" s="4" t="str">
        <v>NA</v>
      </c>
      <c r="Z6" s="4" t="str">
        <v>No usable phone or email found</v>
      </c>
      <c r="AA6" s="4" t="str">
        <v>Use Leads for all candidates. Published roles and connections do not confirm current on-site responsibility.</v>
      </c>
      <c r="AB6" s="4" t="str">
        <v>site:linkedin.com/in "Baywind Residences" Singapore (manager OR management OR facilities OR "quantity surveyor" OR director)</v>
      </c>
      <c r="AC6" s="4" t="str">
        <v>site:linkedin.com "Baywind Residences" Singapore</v>
      </c>
      <c r="AD6" s="13" t="n">
        <v>46298</v>
      </c>
      <c r="AE6" s="11" t="str"/>
    </row>
    <row r="7" ht="50" customHeight="1">
      <c r="A7" s="4" t="str">
        <v>4047</v>
      </c>
      <c r="B7" s="4" t="str">
        <v>CENTRA LOFT</v>
      </c>
      <c r="C7" s="4" t="str">
        <v>Abdul Razak Jaffar</v>
      </c>
      <c r="D7" s="4" t="str">
        <v>Referral lead found</v>
      </c>
      <c r="E7" s="4" t="str">
        <v>PMP-certified project professional; current job title not visible</v>
      </c>
      <c r="F7" s="4" t="str">
        <v>Borneo Properties Sdn Bhd (profile employer)</v>
      </c>
      <c r="G7" s="4" t="str">
        <v>Historical project referral</v>
      </c>
      <c r="H7" s="4" t="str"/>
      <c r="I7" s="4" t="str"/>
      <c r="J7" s="11" t="str">
        <v>https://sg.linkedin.com/in/abdulrazakjaffar</v>
      </c>
      <c r="K7" s="4" t="str">
        <v>LinkedIn profile only</v>
      </c>
      <c r="L7" s="4" t="str">
        <v>Profile lists the 47-unit Centra Loft condominium development among its projects.</v>
      </c>
      <c r="M7" s="4" t="str">
        <v>2013</v>
      </c>
      <c r="N7" s="4" t="str">
        <v>Historical construction-project connection. The listed employer is not confirmed as the Centra Loft managing agent.</v>
      </c>
      <c r="O7" s="11" t="str">
        <v>https://sg.linkedin.com/in/abdulrazakjaffar</v>
      </c>
      <c r="P7" s="11" t="str">
        <v>https://sg.linkedin.com/in/abdulrazakjaffar</v>
      </c>
      <c r="Q7" s="11" t="str"/>
      <c r="R7" s="12" t="n">
        <v>1</v>
      </c>
      <c r="S7" s="4" t="str"/>
      <c r="T7" s="4" t="str">
        <v>No published email found</v>
      </c>
      <c r="U7" s="4" t="str">
        <v>NA</v>
      </c>
      <c r="V7" s="4" t="str">
        <v>T14MC0091E</v>
      </c>
      <c r="W7" s="4" t="str">
        <v>3 LORONG 35 GEYLANG 387935</v>
      </c>
      <c r="X7" s="4" t="str">
        <v>116 CHANGI ROAD 04-07 WIS@CHANGI 419718</v>
      </c>
      <c r="Y7" s="4" t="str">
        <v>NEXUS FACILITY MANAGEMENT PTE LTD</v>
      </c>
      <c r="Z7" s="4" t="str">
        <v>No usable phone or email found</v>
      </c>
      <c r="AA7" s="4" t="str">
        <v>Use Leads for all candidates. Published roles and connections do not confirm current on-site responsibility.</v>
      </c>
      <c r="AB7" s="4" t="str">
        <v>site:linkedin.com/in "CENTRA LOFT" Singapore (manager OR management OR facilities OR "quantity surveyor" OR director)</v>
      </c>
      <c r="AC7" s="4" t="str">
        <v>site:linkedin.com "CENTRA LOFT" Singapore</v>
      </c>
      <c r="AD7" s="13" t="n">
        <v>46298</v>
      </c>
      <c r="AE7" s="11" t="str"/>
    </row>
    <row r="8" ht="50" customHeight="1">
      <c r="A8" s="4" t="str">
        <v>4997</v>
      </c>
      <c r="B8" s="4" t="str">
        <v>CT FOODNEX</v>
      </c>
      <c r="C8" s="4" t="str">
        <v>Nicholas Tan</v>
      </c>
      <c r="D8" s="4" t="str">
        <v>Referral lead found</v>
      </c>
      <c r="E8" s="4" t="str">
        <v>Sales and leasing / development marketing; exact current title unconfirmed</v>
      </c>
      <c r="F8" s="4" t="str">
        <v>Chiu Teng Enterprises Pte Ltd</v>
      </c>
      <c r="G8" s="4" t="str">
        <v>Developer commercial-team referral</v>
      </c>
      <c r="H8" s="4" t="str"/>
      <c r="I8" s="4" t="str"/>
      <c r="J8" s="11" t="str">
        <v>https://sg.linkedin.com/in/nic-bigday</v>
      </c>
      <c r="K8" s="4" t="str">
        <v>LinkedIn profile only</v>
      </c>
      <c r="L8" s="4" t="str">
        <v>Profile lists CT FoodNEX and describes commercial development marketing and launch work.</v>
      </c>
      <c r="M8" s="4" t="str">
        <v>Not publicly dated</v>
      </c>
      <c r="N8" s="4" t="str">
        <v>Developer commercial-team connection. No facilities, QS or MCST management role is established.</v>
      </c>
      <c r="O8" s="11" t="str">
        <v>https://sg.linkedin.com/in/nic-bigday</v>
      </c>
      <c r="P8" s="11" t="str">
        <v>https://sg.linkedin.com/in/nic-bigday</v>
      </c>
      <c r="Q8" s="11" t="str"/>
      <c r="R8" s="12" t="n">
        <v>1</v>
      </c>
      <c r="S8" s="4" t="str"/>
      <c r="T8" s="4" t="str">
        <v>No published email found</v>
      </c>
      <c r="U8" s="4" t="str">
        <v>NA</v>
      </c>
      <c r="V8" s="4" t="str">
        <v>T26MC0001F</v>
      </c>
      <c r="W8" s="4" t="str">
        <v>NA</v>
      </c>
      <c r="X8" s="4" t="str">
        <v>114 LAVENDER STREET 18-01 CT @ Mandai Pte Ltd 338729</v>
      </c>
      <c r="Y8" s="4" t="str">
        <v>NA</v>
      </c>
      <c r="Z8" s="4" t="str">
        <v>No usable phone or email found</v>
      </c>
      <c r="AA8" s="4" t="str">
        <v>Use Leads for all candidates. Published roles and connections do not confirm current on-site responsibility.</v>
      </c>
      <c r="AB8" s="4" t="str">
        <v>site:linkedin.com/in "CT FOODNEX" Singapore (manager OR management OR facilities OR "quantity surveyor" OR director)</v>
      </c>
      <c r="AC8" s="4" t="str">
        <v>site:linkedin.com "CT FOODNEX" Singapore</v>
      </c>
      <c r="AD8" s="13" t="n">
        <v>46298</v>
      </c>
      <c r="AE8" s="11" t="str"/>
    </row>
    <row r="9" ht="50" customHeight="1">
      <c r="A9" s="4" t="str">
        <v>4928</v>
      </c>
      <c r="B9" s="4" t="str">
        <v>GEMS VILLE</v>
      </c>
      <c r="C9" s="4" t="str">
        <v>Gabriel Sua</v>
      </c>
      <c r="D9" s="4" t="str">
        <v>Referral lead found</v>
      </c>
      <c r="E9" s="4" t="str">
        <v>Security and smart-home systems project contributor</v>
      </c>
      <c r="F9" s="4" t="str">
        <v>PSA Singapore (current profile employer; project employer not shown)</v>
      </c>
      <c r="G9" s="4" t="str">
        <v>Historical project referral</v>
      </c>
      <c r="H9" s="4" t="str"/>
      <c r="I9" s="4" t="str"/>
      <c r="J9" s="11" t="str">
        <v>https://sg.linkedin.com/in/gabriel-sua</v>
      </c>
      <c r="K9" s="4" t="str">
        <v>LinkedIn profile only</v>
      </c>
      <c r="L9" s="4" t="str">
        <v>Gems Ville project entry describes CCTV, access-control and smart-home installation.</v>
      </c>
      <c r="M9" s="4" t="str">
        <v>2024</v>
      </c>
      <c r="N9" s="4" t="str">
        <v>Historical technical referral. PSA is the profile employer, not a claimed developer or managing agent of Gems Ville.</v>
      </c>
      <c r="O9" s="11" t="str">
        <v>https://sg.linkedin.com/in/gabriel-sua</v>
      </c>
      <c r="P9" s="11" t="str">
        <v>https://sg.linkedin.com/in/gabriel-sua</v>
      </c>
      <c r="Q9" s="11" t="str"/>
      <c r="R9" s="12" t="n">
        <v>1</v>
      </c>
      <c r="S9" s="4" t="str"/>
      <c r="T9" s="4" t="str">
        <v>No published email found</v>
      </c>
      <c r="U9" s="4" t="str">
        <v>NA</v>
      </c>
      <c r="V9" s="4" t="str">
        <v>T25MC0003D</v>
      </c>
      <c r="W9" s="4" t="str">
        <v>NA</v>
      </c>
      <c r="X9" s="4" t="str">
        <v>91 BENCOOLEN STREET 12-01 EAST ASIA GEYLANG DEVELOPMENT PTE LTD 189652</v>
      </c>
      <c r="Y9" s="4" t="str">
        <v>NA</v>
      </c>
      <c r="Z9" s="4" t="str">
        <v>No usable phone or email found</v>
      </c>
      <c r="AA9" s="4" t="str">
        <v>Use Leads for all candidates. Published roles and connections do not confirm current on-site responsibility.</v>
      </c>
      <c r="AB9" s="4" t="str">
        <v>site:linkedin.com/in "GEMS VILLE" Singapore (manager OR management OR facilities OR "quantity surveyor" OR director)</v>
      </c>
      <c r="AC9" s="4" t="str">
        <v>site:linkedin.com "GEMS VILLE" Singapore</v>
      </c>
      <c r="AD9" s="13" t="n">
        <v>46298</v>
      </c>
      <c r="AE9" s="11" t="str"/>
    </row>
    <row r="10" ht="50" customHeight="1">
      <c r="A10" s="4" t="str">
        <v>02-4958</v>
      </c>
      <c r="B10" s="4" t="str">
        <v>GUOCO MIDTOWN</v>
      </c>
      <c r="C10" s="4" t="str">
        <v>Sonia Siow</v>
      </c>
      <c r="D10" s="4" t="str">
        <v>Referral lead found</v>
      </c>
      <c r="E10" s="4" t="str">
        <v>Assistant manager, facilities management (profile description)</v>
      </c>
      <c r="F10" s="4" t="str">
        <v>GuocoLand Group</v>
      </c>
      <c r="G10" s="4" t="str">
        <v>Property facilities-management lead</v>
      </c>
      <c r="H10" s="4" t="str"/>
      <c r="I10" s="4" t="str"/>
      <c r="J10" s="11" t="str">
        <v>https://sg.linkedin.com/in/sonia-siow-18a31b104</v>
      </c>
      <c r="K10" s="4" t="str">
        <v>LinkedIn profile only</v>
      </c>
      <c r="L10" s="4" t="str">
        <v>Profile describes facilities-management responsibility at Guoco Midtown, including construction, TOP and tenant operations.</v>
      </c>
      <c r="M10" s="4" t="str">
        <v>Not publicly dated</v>
      </c>
      <c r="N10" s="4" t="str">
        <v>Current property assignment is unconfirmed. Confirm the responsible management team before relying on this referral.</v>
      </c>
      <c r="O10" s="11" t="str">
        <v>https://sg.linkedin.com/in/sonia-siow-18a31b104</v>
      </c>
      <c r="P10" s="11" t="str">
        <v>https://sg.linkedin.com/in/sonia-siow-18a31b104</v>
      </c>
      <c r="Q10" s="11" t="str"/>
      <c r="R10" s="12" t="n">
        <v>2</v>
      </c>
      <c r="S10" s="4" t="str">
        <v>Wenshan Zhao</v>
      </c>
      <c r="T10" s="4" t="str">
        <v>No published email found</v>
      </c>
      <c r="U10" s="4" t="str">
        <v>02-4958</v>
      </c>
      <c r="V10" s="4" t="str">
        <v>T25SM0005B</v>
      </c>
      <c r="W10" s="4" t="str">
        <v>NA</v>
      </c>
      <c r="X10" s="4" t="str">
        <v>128 BEACH ROAD 03-01 GUOCO MIDTOWN 189773</v>
      </c>
      <c r="Y10" s="4" t="str">
        <v>NA</v>
      </c>
      <c r="Z10" s="4" t="str">
        <v>No usable phone or email found</v>
      </c>
      <c r="AA10" s="4" t="str">
        <v>Use Leads for all candidates. Published roles and connections do not confirm current on-site responsibility.</v>
      </c>
      <c r="AB10" s="4" t="str">
        <v>site:linkedin.com/in "GUOCO MIDTOWN" Singapore (manager OR management OR facilities OR "quantity surveyor" OR director)</v>
      </c>
      <c r="AC10" s="4" t="str">
        <v>site:linkedin.com "GUOCO MIDTOWN" Singapore</v>
      </c>
      <c r="AD10" s="13" t="n">
        <v>46298</v>
      </c>
      <c r="AE10" s="11" t="str"/>
    </row>
    <row r="11" ht="50" customHeight="1">
      <c r="A11" s="4" t="str">
        <v>4981</v>
      </c>
      <c r="B11" s="4" t="str">
        <v>GUOCO MIDTOWN II/ MIDTOWN MODERN</v>
      </c>
      <c r="C11" s="4" t="str">
        <v>Patricia Lim</v>
      </c>
      <c r="D11" s="4" t="str">
        <v>Referral lead found</v>
      </c>
      <c r="E11" s="4" t="str">
        <v>Title not publicly visible</v>
      </c>
      <c r="F11" s="4" t="str">
        <v>Guocoland Midtown Modern (profile employer label)</v>
      </c>
      <c r="G11" s="4" t="str">
        <v>Property-affiliated referral; role unknown</v>
      </c>
      <c r="H11" s="4" t="str"/>
      <c r="I11" s="4" t="str"/>
      <c r="J11" s="11" t="str">
        <v>https://sg.linkedin.com/in/patricia-lim-b4975b55</v>
      </c>
      <c r="K11" s="4" t="str">
        <v>LinkedIn profile only</v>
      </c>
      <c r="L11" s="4" t="str">
        <v>Profile names Guocoland Midtown Modern in its experience section.</v>
      </c>
      <c r="M11" s="4" t="str">
        <v>Not publicly dated</v>
      </c>
      <c r="N11" s="4" t="str">
        <v>Employer/property affiliation is visible; job title, dates and management responsibility are not. Ask for the facilities or property manager.</v>
      </c>
      <c r="O11" s="11" t="str">
        <v>https://sg.linkedin.com/in/patricia-lim-b4975b55</v>
      </c>
      <c r="P11" s="11" t="str">
        <v>https://sg.linkedin.com/in/patricia-lim-b4975b55</v>
      </c>
      <c r="Q11" s="11" t="str"/>
      <c r="R11" s="12" t="n">
        <v>1</v>
      </c>
      <c r="S11" s="4" t="str"/>
      <c r="T11" s="4" t="str">
        <v>No published email found</v>
      </c>
      <c r="U11" s="4" t="str">
        <v>NA</v>
      </c>
      <c r="V11" s="4" t="str">
        <v>T26MC0003J</v>
      </c>
      <c r="W11" s="4" t="str">
        <v>NA</v>
      </c>
      <c r="X11" s="4" t="str">
        <v>20 TAN QUEE LAN STREET 02-01 GUOCO MIDTOWN II/ MIDTOWN MODERN 188107</v>
      </c>
      <c r="Y11" s="4" t="str">
        <v>NA</v>
      </c>
      <c r="Z11" s="4" t="str">
        <v>No usable phone or email found</v>
      </c>
      <c r="AA11" s="4" t="str">
        <v>Use Leads for all candidates. Published roles and connections do not confirm current on-site responsibility.</v>
      </c>
      <c r="AB11" s="4" t="str">
        <v>site:linkedin.com/in "GUOCO MIDTOWN II/ MIDTOWN MODERN" Singapore (manager OR management OR facilities OR "quantity surveyor" OR director)</v>
      </c>
      <c r="AC11" s="4" t="str">
        <v>site:linkedin.com "GUOCO MIDTOWN II/ MIDTOWN MODERN" Singapore</v>
      </c>
      <c r="AD11" s="13" t="n">
        <v>46298</v>
      </c>
      <c r="AE11" s="11" t="str"/>
    </row>
    <row r="12" ht="50" customHeight="1">
      <c r="A12" s="4" t="str">
        <v>4958</v>
      </c>
      <c r="B12" s="4" t="str">
        <v>GUOCO MIDTOWN/MIDTOWN BAY</v>
      </c>
      <c r="C12" s="4" t="str">
        <v>Sonia Siow</v>
      </c>
      <c r="D12" s="4" t="str">
        <v>Referral lead found</v>
      </c>
      <c r="E12" s="4" t="str">
        <v>Assistant manager, facilities management (profile description)</v>
      </c>
      <c r="F12" s="4" t="str">
        <v>GuocoLand Group</v>
      </c>
      <c r="G12" s="4" t="str">
        <v>Property facilities-management lead</v>
      </c>
      <c r="H12" s="4" t="str"/>
      <c r="I12" s="4" t="str"/>
      <c r="J12" s="11" t="str">
        <v>https://sg.linkedin.com/in/sonia-siow-18a31b104</v>
      </c>
      <c r="K12" s="4" t="str">
        <v>LinkedIn profile only</v>
      </c>
      <c r="L12" s="4" t="str">
        <v>Profile describes facilities-management responsibility at Guoco Midtown, including construction, TOP and tenant operations.</v>
      </c>
      <c r="M12" s="4" t="str">
        <v>Not publicly dated</v>
      </c>
      <c r="N12" s="4" t="str">
        <v>Current property assignment is unconfirmed. Confirm the responsible management team before relying on this referral.</v>
      </c>
      <c r="O12" s="11" t="str">
        <v>https://sg.linkedin.com/in/sonia-siow-18a31b104</v>
      </c>
      <c r="P12" s="11" t="str">
        <v>https://sg.linkedin.com/in/sonia-siow-18a31b104</v>
      </c>
      <c r="Q12" s="11" t="str"/>
      <c r="R12" s="12" t="n">
        <v>2</v>
      </c>
      <c r="S12" s="4" t="str">
        <v>Wenshan Zhao</v>
      </c>
      <c r="T12" s="4" t="str">
        <v>No published email found</v>
      </c>
      <c r="U12" s="4" t="str">
        <v>NA</v>
      </c>
      <c r="V12" s="4" t="str">
        <v>T25MC0038K</v>
      </c>
      <c r="W12" s="4" t="str">
        <v>NA</v>
      </c>
      <c r="X12" s="4" t="str">
        <v>128 BEACH ROAD 03-01 GUOCO MIDTOWN  189773</v>
      </c>
      <c r="Y12" s="4" t="str">
        <v>NA</v>
      </c>
      <c r="Z12" s="4" t="str">
        <v>No usable phone or email found</v>
      </c>
      <c r="AA12" s="4" t="str">
        <v>Use Leads for all candidates. Published roles and connections do not confirm current on-site responsibility.</v>
      </c>
      <c r="AB12" s="4" t="str">
        <v>site:linkedin.com/in "GUOCO MIDTOWN/MIDTOWN BAY" Singapore (manager OR management OR facilities OR "quantity surveyor" OR director)</v>
      </c>
      <c r="AC12" s="4" t="str">
        <v>site:linkedin.com "GUOCO MIDTOWN/MIDTOWN BAY" Singapore</v>
      </c>
      <c r="AD12" s="13" t="n">
        <v>46298</v>
      </c>
      <c r="AE12" s="11" t="str"/>
    </row>
    <row r="13" ht="50" customHeight="1">
      <c r="A13" s="4" t="str">
        <v>4964</v>
      </c>
      <c r="B13" s="4" t="str">
        <v>IRWELL HILL RESIDENCES</v>
      </c>
      <c r="C13" s="4" t="str">
        <v>Elvis Ang</v>
      </c>
      <c r="D13" s="4" t="str">
        <v>Referral lead found</v>
      </c>
      <c r="E13" s="4" t="str">
        <v>Developer project-team contributor; title not public</v>
      </c>
      <c r="F13" s="4" t="str">
        <v>City Developments Limited</v>
      </c>
      <c r="G13" s="4" t="str">
        <v>Historical developer-project referral</v>
      </c>
      <c r="H13" s="4" t="str"/>
      <c r="I13" s="4" t="str"/>
      <c r="J13" s="11" t="str">
        <v>https://sg.linkedin.com/in/elvis-ang-17170489</v>
      </c>
      <c r="K13" s="4" t="str">
        <v>LinkedIn profile only</v>
      </c>
      <c r="L13" s="4" t="str">
        <v>Profile lists the 540-unit Irwell Hill Residences project and CDL experience.</v>
      </c>
      <c r="M13" s="4" t="str">
        <v>May 2024 to July 2025</v>
      </c>
      <c r="N13" s="4" t="str">
        <v>Profile shows a later project elsewhere. Treat as a historical project referral, not the present estate manager.</v>
      </c>
      <c r="O13" s="11" t="str">
        <v>https://sg.linkedin.com/in/elvis-ang-17170489</v>
      </c>
      <c r="P13" s="11" t="str">
        <v>https://sg.linkedin.com/in/elvis-ang-17170489</v>
      </c>
      <c r="Q13" s="11" t="str"/>
      <c r="R13" s="12" t="n">
        <v>1</v>
      </c>
      <c r="S13" s="4" t="str"/>
      <c r="T13" s="4" t="str">
        <v>No published email found</v>
      </c>
      <c r="U13" s="4" t="str">
        <v>NA</v>
      </c>
      <c r="V13" s="4" t="str">
        <v>T25MC0024K</v>
      </c>
      <c r="W13" s="4" t="str">
        <v>NA</v>
      </c>
      <c r="X13" s="4" t="str">
        <v>4 IRWELL HILL 239589</v>
      </c>
      <c r="Y13" s="4" t="str">
        <v>NA</v>
      </c>
      <c r="Z13" s="4" t="str">
        <v>No usable phone or email found</v>
      </c>
      <c r="AA13" s="4" t="str">
        <v>Use Leads for all candidates. Published roles and connections do not confirm current on-site responsibility.</v>
      </c>
      <c r="AB13" s="4" t="str">
        <v>site:linkedin.com/in "IRWELL HILL RESIDENCES" Singapore (manager OR management OR facilities OR "quantity surveyor" OR director)</v>
      </c>
      <c r="AC13" s="4" t="str">
        <v>site:linkedin.com "IRWELL HILL RESIDENCES" Singapore</v>
      </c>
      <c r="AD13" s="13" t="n">
        <v>46298</v>
      </c>
      <c r="AE13" s="11" t="str"/>
    </row>
    <row r="14" ht="50" customHeight="1">
      <c r="A14" s="4" t="str">
        <v>4952</v>
      </c>
      <c r="B14" s="4" t="str">
        <v>KI RESIDENCES AT BROOKVALE</v>
      </c>
      <c r="C14" s="4" t="str">
        <v>Johideen Mohamed Hamanullah</v>
      </c>
      <c r="D14" s="4" t="str">
        <v>Referral lead found</v>
      </c>
      <c r="E14" s="4" t="str">
        <v>Construction and workplace-safety project contact; exact title not public</v>
      </c>
      <c r="F14" s="4" t="str">
        <v>Straits Construction Singapore Pte Ltd</v>
      </c>
      <c r="G14" s="4" t="str">
        <v>Historical project referral</v>
      </c>
      <c r="H14" s="4" t="str"/>
      <c r="I14" s="4" t="str"/>
      <c r="J14" s="11" t="str">
        <v>https://sg.linkedin.com/in/johideen-mohamed</v>
      </c>
      <c r="K14" s="4" t="str">
        <v>LinkedIn profile only</v>
      </c>
      <c r="L14" s="4" t="str">
        <v>Profile associates its 2021, 2022 and 2023 workplace-safety awards with Ki Residences.</v>
      </c>
      <c r="M14" s="4" t="str">
        <v>2021 to 2023 awards</v>
      </c>
      <c r="N14" s="4" t="str">
        <v>Historical project affiliation through safety awards. Current estate responsibility and exact job title are unconfirmed.</v>
      </c>
      <c r="O14" s="11" t="str">
        <v>https://sg.linkedin.com/in/johideen-mohamed</v>
      </c>
      <c r="P14" s="11" t="str">
        <v>https://sg.linkedin.com/in/johideen-mohamed</v>
      </c>
      <c r="Q14" s="11" t="str"/>
      <c r="R14" s="12" t="n">
        <v>1</v>
      </c>
      <c r="S14" s="4" t="str"/>
      <c r="T14" s="4" t="str">
        <v>No published email found</v>
      </c>
      <c r="U14" s="4" t="str">
        <v>NA</v>
      </c>
      <c r="V14" s="4" t="str">
        <v>T25MC0019G</v>
      </c>
      <c r="W14" s="4" t="str">
        <v>NA</v>
      </c>
      <c r="X14" s="4" t="str">
        <v>16 JALAN KILANG 07-01 HOI HUP BUILDING 159416</v>
      </c>
      <c r="Y14" s="4" t="str">
        <v>NA</v>
      </c>
      <c r="Z14" s="4" t="str">
        <v>No usable phone or email found</v>
      </c>
      <c r="AA14" s="4" t="str">
        <v>Use Leads for all candidates. Published roles and connections do not confirm current on-site responsibility.</v>
      </c>
      <c r="AB14" s="4" t="str">
        <v>site:linkedin.com/in "KI RESIDENCES AT BROOKVALE" Singapore (manager OR management OR facilities OR "quantity surveyor" OR director)</v>
      </c>
      <c r="AC14" s="4" t="str">
        <v>site:linkedin.com "KI RESIDENCES AT BROOKVALE" Singapore</v>
      </c>
      <c r="AD14" s="13" t="n">
        <v>46298</v>
      </c>
      <c r="AE14" s="11" t="str"/>
    </row>
    <row r="15" ht="50" customHeight="1">
      <c r="A15" s="4" t="str">
        <v>4890</v>
      </c>
      <c r="B15" s="4" t="str">
        <v>KOPAR AT NEWTON</v>
      </c>
      <c r="C15" s="4" t="str">
        <v>Winnie Wong</v>
      </c>
      <c r="D15" s="4" t="str">
        <v>Referral lead found</v>
      </c>
      <c r="E15" s="4" t="str">
        <v>Senior Managing Director, Property Management</v>
      </c>
      <c r="F15" s="4" t="str">
        <v>Savills Property Management</v>
      </c>
      <c r="G15" s="4" t="str">
        <v>Appointed-agent leadership referral</v>
      </c>
      <c r="H15" s="4" t="str"/>
      <c r="I15" s="4" t="str">
        <v>+65 6346 3238</v>
      </c>
      <c r="J15" s="11" t="str">
        <v>https://sg.linkedin.com/in/winnie-wong-7b784a253</v>
      </c>
      <c r="K15" s="4" t="str">
        <v>Shared Savills property-management office</v>
      </c>
      <c r="L15" s="4" t="str">
        <v>Savills’ own LinkedIn announcement names this development as a managing-agent appointment and tags Winnie Wong.</v>
      </c>
      <c r="M15" s="4" t="str">
        <v>Public appointment announcement; exact end date not shown</v>
      </c>
      <c r="N15" s="4" t="str">
        <v>Company appointment is published. Wong is a company leader, not a confirmed on-site manager. Ask the office for the assigned estate team.</v>
      </c>
      <c r="O15" s="11" t="str">
        <v>https://www.linkedin.com/posts/savills-singapore_savillssg-savillspropertymanagement-koparatnewton-activity-7368447477047312385-GxsE</v>
      </c>
      <c r="P15" s="11" t="str">
        <v>https://www.savills.com.sg/services/property-management.aspx</v>
      </c>
      <c r="Q15" s="11" t="str">
        <v>https://www.savills.com.sg/services/property-management.aspx</v>
      </c>
      <c r="R15" s="12" t="n">
        <v>2</v>
      </c>
      <c r="S15" s="4" t="str">
        <v>Steven Chew</v>
      </c>
      <c r="T15" s="4" t="str">
        <v>No published email found</v>
      </c>
      <c r="U15" s="4" t="str">
        <v>NA</v>
      </c>
      <c r="V15" s="4" t="str">
        <v>T24MC0018F</v>
      </c>
      <c r="W15" s="4" t="str">
        <v>4 MAKEWAY AVENUE 228605</v>
      </c>
      <c r="X15" s="4" t="str">
        <v>4 MAKEWAY AVENUE KOPAR AT NEWTON 228605</v>
      </c>
      <c r="Y15" s="4" t="str">
        <v>NA</v>
      </c>
      <c r="Z15" s="4" t="str">
        <v>No usable phone or email found</v>
      </c>
      <c r="AA15" s="4" t="str">
        <v>Use Leads for all candidates. Published roles and connections do not confirm current on-site responsibility.</v>
      </c>
      <c r="AB15" s="4" t="str">
        <v>site:linkedin.com/in "KOPAR AT NEWTON" Singapore (manager OR management OR facilities OR "quantity surveyor" OR director)</v>
      </c>
      <c r="AC15" s="4" t="str">
        <v>site:linkedin.com "KOPAR AT NEWTON" Singapore</v>
      </c>
      <c r="AD15" s="13" t="n">
        <v>46298</v>
      </c>
      <c r="AE15" s="11" t="str"/>
    </row>
    <row r="16" ht="50" customHeight="1">
      <c r="A16" s="4" t="str">
        <v>1115</v>
      </c>
      <c r="B16" s="4" t="str">
        <v>MANAGEMENT CORPORATION STRATA TITLE PLAN NO. 1115</v>
      </c>
      <c r="C16" s="4" t="str">
        <v>Silviana Oei</v>
      </c>
      <c r="D16" s="4" t="str">
        <v>Referral lead found</v>
      </c>
      <c r="E16" s="4" t="str">
        <v>Title not publicly visible</v>
      </c>
      <c r="F16" s="4" t="str">
        <v>Santat Pte Ltd</v>
      </c>
      <c r="G16" s="4" t="str">
        <v>Managing-agent company referral</v>
      </c>
      <c r="H16" s="4" t="str"/>
      <c r="I16" s="4" t="str"/>
      <c r="J16" s="11" t="str">
        <v>https://sg.linkedin.com/in/silviana-oei-5b755227</v>
      </c>
      <c r="K16" s="4" t="str">
        <v>LinkedIn profile only</v>
      </c>
      <c r="L16" s="4" t="str">
        <v>BCA names Santat as managing agent. The profile lists Santat experience.</v>
      </c>
      <c r="M16" s="4" t="str">
        <v>Not publicly dated</v>
      </c>
      <c r="N16" s="4" t="str">
        <v>Company affiliation only. Title, current employment dates and assignment to this MCST are not publicly established.</v>
      </c>
      <c r="O16" s="11" t="str">
        <v>https://data.gov.sg/datasets/d_f988c57e16e99ad3a649aa04572efd1c/view</v>
      </c>
      <c r="P16" s="11" t="str">
        <v>https://sg.linkedin.com/in/silviana-oei-5b755227</v>
      </c>
      <c r="Q16" s="11" t="str"/>
      <c r="R16" s="12" t="n">
        <v>1</v>
      </c>
      <c r="S16" s="4" t="str"/>
      <c r="T16" s="4" t="str">
        <v>No published email found</v>
      </c>
      <c r="U16" s="4" t="str">
        <v>NA</v>
      </c>
      <c r="V16" s="4" t="str">
        <v>S86MC1115B</v>
      </c>
      <c r="W16" s="4" t="str">
        <v>344B JOO CHIAT ROAD 427595</v>
      </c>
      <c r="X16" s="4" t="str">
        <v>344 JOO CHIAT ROAD 427595</v>
      </c>
      <c r="Y16" s="4" t="str">
        <v>SANTAT PTE LTD</v>
      </c>
      <c r="Z16" s="4" t="str">
        <v>No usable phone or email found</v>
      </c>
      <c r="AA16" s="4" t="str">
        <v>Use Leads for all candidates. Published roles and connections do not confirm current on-site responsibility.</v>
      </c>
      <c r="AB16" s="4" t="str">
        <v>site:linkedin.com/in "344B JOO CHIAT ROAD" Singapore (manager OR management OR facilities OR "quantity surveyor" OR director)</v>
      </c>
      <c r="AC16" s="4" t="str">
        <v>site:linkedin.com "344B JOO CHIAT ROAD" Singapore</v>
      </c>
      <c r="AD16" s="13" t="n">
        <v>46298</v>
      </c>
      <c r="AE16" s="11" t="str"/>
    </row>
    <row r="17" ht="50" customHeight="1">
      <c r="A17" s="4" t="str">
        <v>2173</v>
      </c>
      <c r="B17" s="4" t="str">
        <v>MANAGEMENT CORPORATION STRATA TITLE PLAN NO.2173</v>
      </c>
      <c r="C17" s="4" t="str">
        <v>Sammi Lim</v>
      </c>
      <c r="D17" s="4" t="str">
        <v>Referral lead found</v>
      </c>
      <c r="E17" s="4" t="str">
        <v>Founder and Executive Director</v>
      </c>
      <c r="F17" s="4" t="str">
        <v>Brilliance Capital</v>
      </c>
      <c r="G17" s="4" t="str">
        <v>Sales-agent referral</v>
      </c>
      <c r="H17" s="4" t="str">
        <v>sammi@brilliancecapital.sg</v>
      </c>
      <c r="I17" s="4" t="str"/>
      <c r="J17" s="11" t="str">
        <v>https://sg.linkedin.com/in/bc-sammi-lim</v>
      </c>
      <c r="K17" s="4" t="str">
        <v>Published business email of selling-agent contact</v>
      </c>
      <c r="L17" s="4" t="str">
        <v>Her LinkedIn post and Brilliance’s announcement identify a whole-building sale at 17 Hongkong Street.</v>
      </c>
      <c r="M17" s="4" t="str">
        <v>2024 sale announcement</v>
      </c>
      <c r="N17" s="4" t="str">
        <v>Historical whole-building selling-agent referral. No current property-management mandate is established.</v>
      </c>
      <c r="O17" s="11" t="str">
        <v>https://www.linkedin.com/posts/bc-sammi-lim_for-sale-by-expression-of-interest-17-hongkong-activity-7230001763683024898-RZwu</v>
      </c>
      <c r="P17" s="11" t="str">
        <v>https://brilliancecapital.sg/about-us/</v>
      </c>
      <c r="Q17" s="11" t="str">
        <v>https://brilliancecapital.sg/property/6930/</v>
      </c>
      <c r="R17" s="12" t="n">
        <v>1</v>
      </c>
      <c r="S17" s="4" t="str"/>
      <c r="T17" s="4" t="str">
        <v>Yes</v>
      </c>
      <c r="U17" s="4" t="str">
        <v>NA</v>
      </c>
      <c r="V17" s="4" t="str">
        <v>S98MC2173L</v>
      </c>
      <c r="W17" s="4" t="str">
        <v>17 HONGKONG STREET 59660</v>
      </c>
      <c r="X17" s="4" t="str">
        <v>8 SHENTON WAY 29-01 068811</v>
      </c>
      <c r="Y17" s="4" t="str">
        <v>NIL</v>
      </c>
      <c r="Z17" s="4" t="str">
        <v>No usable phone or email found</v>
      </c>
      <c r="AA17" s="4" t="str">
        <v>Use Leads for all candidates. Published roles and connections do not confirm current on-site responsibility.</v>
      </c>
      <c r="AB17" s="4" t="str">
        <v>site:linkedin.com/in "17 HONGKONG STREET" Singapore (manager OR management OR facilities OR "quantity surveyor" OR director)</v>
      </c>
      <c r="AC17" s="4" t="str">
        <v>site:linkedin.com "17 HONGKONG STREET" Singapore</v>
      </c>
      <c r="AD17" s="13" t="n">
        <v>46298</v>
      </c>
      <c r="AE17" s="11" t="str"/>
    </row>
    <row r="18" ht="50" customHeight="1">
      <c r="A18" s="4" t="str">
        <v>01-4958</v>
      </c>
      <c r="B18" s="4" t="str">
        <v>MIDTOWN BAY</v>
      </c>
      <c r="C18" s="4" t="str">
        <v>Sonia Siow</v>
      </c>
      <c r="D18" s="4" t="str">
        <v>Referral lead found</v>
      </c>
      <c r="E18" s="4" t="str">
        <v>Assistant manager, facilities management (profile description)</v>
      </c>
      <c r="F18" s="4" t="str">
        <v>GuocoLand Group</v>
      </c>
      <c r="G18" s="4" t="str">
        <v>Related integrated-development referral</v>
      </c>
      <c r="H18" s="4" t="str"/>
      <c r="I18" s="4" t="str"/>
      <c r="J18" s="11" t="str">
        <v>https://sg.linkedin.com/in/sonia-siow-18a31b104</v>
      </c>
      <c r="K18" s="4" t="str">
        <v>LinkedIn profile only</v>
      </c>
      <c r="L18" s="4" t="str">
        <v>Profile concerns Guoco Midtown. Midtown Bay is its residential component. Residential MCST responsibility is unconfirmed.</v>
      </c>
      <c r="M18" s="4" t="str">
        <v>Not publicly dated</v>
      </c>
      <c r="N18" s="4" t="str">
        <v>Related integrated-development referral. The profile does not establish responsibility for the Midtown Bay subsidiary MCST.</v>
      </c>
      <c r="O18" s="11" t="str">
        <v>https://www.linkedin.com/posts/cscec-singapore-926189194_guocomidtown-projectupdate-construction-activity-7057420018493374464-qQB2</v>
      </c>
      <c r="P18" s="11" t="str">
        <v>https://sg.linkedin.com/in/sonia-siow-18a31b104</v>
      </c>
      <c r="Q18" s="11" t="str"/>
      <c r="R18" s="12" t="n">
        <v>2</v>
      </c>
      <c r="S18" s="4" t="str">
        <v>Wenshan Zhao</v>
      </c>
      <c r="T18" s="4" t="str">
        <v>No published email found</v>
      </c>
      <c r="U18" s="4" t="str">
        <v>01-4958</v>
      </c>
      <c r="V18" s="4" t="str">
        <v>T25MC0038K</v>
      </c>
      <c r="W18" s="4" t="str">
        <v>NA</v>
      </c>
      <c r="X18" s="4" t="str">
        <v>122 BEACH ROAD 07-11 MIDTOWN BAY 189770</v>
      </c>
      <c r="Y18" s="4" t="str">
        <v>NA</v>
      </c>
      <c r="Z18" s="4" t="str">
        <v>No usable phone or email found</v>
      </c>
      <c r="AA18" s="4" t="str">
        <v>Use Leads for all candidates. Published roles and connections do not confirm current on-site responsibility.</v>
      </c>
      <c r="AB18" s="4" t="str">
        <v>site:linkedin.com/in "MIDTOWN BAY" Singapore (manager OR management OR facilities OR "quantity surveyor" OR director)</v>
      </c>
      <c r="AC18" s="4" t="str">
        <v>site:linkedin.com "MIDTOWN BAY" Singapore</v>
      </c>
      <c r="AD18" s="13" t="n">
        <v>46298</v>
      </c>
      <c r="AE18" s="11" t="str"/>
    </row>
    <row r="19" ht="50" customHeight="1">
      <c r="A19" s="4" t="str">
        <v>01-4981</v>
      </c>
      <c r="B19" s="4" t="str">
        <v>MIDTOWN MODERN</v>
      </c>
      <c r="C19" s="4" t="str">
        <v>Patricia Lim</v>
      </c>
      <c r="D19" s="4" t="str">
        <v>Referral lead found</v>
      </c>
      <c r="E19" s="4" t="str">
        <v>Title not publicly visible</v>
      </c>
      <c r="F19" s="4" t="str">
        <v>Guocoland Midtown Modern (profile employer label)</v>
      </c>
      <c r="G19" s="4" t="str">
        <v>Property-affiliated referral; role unknown</v>
      </c>
      <c r="H19" s="4" t="str"/>
      <c r="I19" s="4" t="str"/>
      <c r="J19" s="11" t="str">
        <v>https://sg.linkedin.com/in/patricia-lim-b4975b55</v>
      </c>
      <c r="K19" s="4" t="str">
        <v>LinkedIn profile only</v>
      </c>
      <c r="L19" s="4" t="str">
        <v>Profile names Guocoland Midtown Modern in its experience section.</v>
      </c>
      <c r="M19" s="4" t="str">
        <v>Not publicly dated</v>
      </c>
      <c r="N19" s="4" t="str">
        <v>Employer/property affiliation is visible; job title, dates and management responsibility are not. Ask for the facilities or property manager.</v>
      </c>
      <c r="O19" s="11" t="str">
        <v>https://sg.linkedin.com/in/patricia-lim-b4975b55</v>
      </c>
      <c r="P19" s="11" t="str">
        <v>https://sg.linkedin.com/in/patricia-lim-b4975b55</v>
      </c>
      <c r="Q19" s="11" t="str"/>
      <c r="R19" s="12" t="n">
        <v>1</v>
      </c>
      <c r="S19" s="4" t="str"/>
      <c r="T19" s="4" t="str">
        <v>No published email found</v>
      </c>
      <c r="U19" s="4" t="str">
        <v>01-4981</v>
      </c>
      <c r="V19" s="4" t="str">
        <v>T26SM0001A</v>
      </c>
      <c r="W19" s="4" t="str">
        <v>NA</v>
      </c>
      <c r="X19" s="4" t="str">
        <v>20 TAN QUEE LAN STREET 02-01 MIDTOWN MODERN 188107</v>
      </c>
      <c r="Y19" s="4" t="str">
        <v>NA</v>
      </c>
      <c r="Z19" s="4" t="str">
        <v>No usable phone or email found</v>
      </c>
      <c r="AA19" s="4" t="str">
        <v>Use Leads for all candidates. Published roles and connections do not confirm current on-site responsibility.</v>
      </c>
      <c r="AB19" s="4" t="str">
        <v>site:linkedin.com/in "MIDTOWN MODERN" Singapore (manager OR management OR facilities OR "quantity surveyor" OR director)</v>
      </c>
      <c r="AC19" s="4" t="str">
        <v>site:linkedin.com "MIDTOWN MODERN" Singapore</v>
      </c>
      <c r="AD19" s="13" t="n">
        <v>46298</v>
      </c>
      <c r="AE19" s="11" t="str"/>
    </row>
    <row r="20" ht="50" customHeight="1">
      <c r="A20" s="4" t="str">
        <v>4943</v>
      </c>
      <c r="B20" s="4" t="str">
        <v>MOOI RESIDENCES</v>
      </c>
      <c r="C20" s="4" t="str">
        <v>Wayne Liow</v>
      </c>
      <c r="D20" s="4" t="str">
        <v>Referral lead found</v>
      </c>
      <c r="E20" s="4" t="str">
        <v>Property-management professional; exact title not public</v>
      </c>
      <c r="F20" s="4" t="str">
        <v>Tri Property Asset Management Pte Ltd</v>
      </c>
      <c r="G20" s="4" t="str">
        <v>Directory-suggested agent referral</v>
      </c>
      <c r="H20" s="4" t="str"/>
      <c r="I20" s="4" t="str">
        <v>+65 6937 9060</v>
      </c>
      <c r="J20" s="11" t="str">
        <v>https://sg.linkedin.com/in/wayne-liow-5672a8b4</v>
      </c>
      <c r="K20" s="4" t="str">
        <v>Shared company number from industry association</v>
      </c>
      <c r="L20" s="4" t="str">
        <v>A third-party managing-agent directory links Tri to Mooi Residences. LinkedIn lists Liow at Tri and offers property-management services.</v>
      </c>
      <c r="M20" s="4" t="str">
        <v>Not publicly dated</v>
      </c>
      <c r="N20" s="4" t="str">
        <v>Property-to-agent link is third-party only and differs from the blank July BCA agent field. Confirm Tri’s appointment and Liow’s role before use.</v>
      </c>
      <c r="O20" s="11" t="str">
        <v>https://comparemanagingagents.com/singapore/managing-agents/tri-property-asset-management/</v>
      </c>
      <c r="P20" s="11" t="str">
        <v>https://sg.linkedin.com/in/wayne-liow-5672a8b4</v>
      </c>
      <c r="Q20" s="11" t="str">
        <v>https://www.asm.org.sg/accredited-strata-firms</v>
      </c>
      <c r="R20" s="12" t="n">
        <v>1</v>
      </c>
      <c r="S20" s="4" t="str"/>
      <c r="T20" s="4" t="str">
        <v>No published email found</v>
      </c>
      <c r="U20" s="4" t="str">
        <v>NA</v>
      </c>
      <c r="V20" s="4" t="str">
        <v>T25MC0013J</v>
      </c>
      <c r="W20" s="4" t="str">
        <v>NA</v>
      </c>
      <c r="X20" s="4" t="str">
        <v>BEACH ROAD 199589</v>
      </c>
      <c r="Y20" s="4" t="str">
        <v>NA</v>
      </c>
      <c r="Z20" s="4" t="str">
        <v>No usable phone or email found</v>
      </c>
      <c r="AA20" s="4" t="str">
        <v>Use Leads for all candidates. Published roles and connections do not confirm current on-site responsibility.</v>
      </c>
      <c r="AB20" s="4" t="str">
        <v>site:linkedin.com/in "MOOI RESIDENCES" Singapore (manager OR management OR facilities OR "quantity surveyor" OR director)</v>
      </c>
      <c r="AC20" s="4" t="str">
        <v>site:linkedin.com "MOOI RESIDENCES" Singapore</v>
      </c>
      <c r="AD20" s="13" t="n">
        <v>46298</v>
      </c>
      <c r="AE20" s="11" t="str"/>
    </row>
    <row r="21" ht="50" customHeight="1">
      <c r="A21" s="4" t="str">
        <v>4975</v>
      </c>
      <c r="B21" s="4" t="str">
        <v>MORI</v>
      </c>
      <c r="C21" s="4" t="str">
        <v>Won Tai Piao (T. P. Won)</v>
      </c>
      <c r="D21" s="4" t="str">
        <v>Referral lead found</v>
      </c>
      <c r="E21" s="4" t="str">
        <v>Assistant Director, Developments; leads contract, project and property management</v>
      </c>
      <c r="F21" s="4" t="str">
        <v>Roxy-Pacific Holdings</v>
      </c>
      <c r="G21" s="4" t="str">
        <v>Developer management-team referral</v>
      </c>
      <c r="H21" s="4" t="str"/>
      <c r="I21" s="4" t="str"/>
      <c r="J21" s="11" t="str">
        <v>https://sg.linkedin.com/in/t-p-won-0a904034</v>
      </c>
      <c r="K21" s="4" t="str">
        <v>LinkedIn profile only</v>
      </c>
      <c r="L21" s="4" t="str">
        <v>Official leadership page describes Won’s management remit. LinkedIn lists the same employer and a project-management background.</v>
      </c>
      <c r="M21" s="4" t="str">
        <v>Not publicly dated</v>
      </c>
      <c r="N21" s="4" t="str">
        <v>Developer-level referral. A current MCST appointment or individual assignment to this property is not established.</v>
      </c>
      <c r="O21" s="11" t="str">
        <v>https://www.bca.gov.sg/quality-housing-portal/ProjectDetail.aspx?buildtype=Private+Housing&amp;cat=Contractor&amp;name=JH+Construction+Pte+Ltd</v>
      </c>
      <c r="P21" s="11" t="str">
        <v>https://www.roxypacific.com.sg/about-us/meet-our-management/</v>
      </c>
      <c r="Q21" s="11" t="str"/>
      <c r="R21" s="12" t="n">
        <v>1</v>
      </c>
      <c r="S21" s="4" t="str"/>
      <c r="T21" s="4" t="str">
        <v>No published email found</v>
      </c>
      <c r="U21" s="4" t="str">
        <v>NA</v>
      </c>
      <c r="V21" s="4" t="str">
        <v>T25MC0036G</v>
      </c>
      <c r="W21" s="4" t="str">
        <v>NA</v>
      </c>
      <c r="X21" s="4" t="str">
        <v>50 EAST COAST ROAD B1-18 428769</v>
      </c>
      <c r="Y21" s="4" t="str">
        <v>NA</v>
      </c>
      <c r="Z21" s="4" t="str">
        <v>No usable phone or email found</v>
      </c>
      <c r="AA21" s="4" t="str">
        <v>Use Leads for all candidates. Published roles and connections do not confirm current on-site responsibility.</v>
      </c>
      <c r="AB21" s="4" t="str">
        <v>site:linkedin.com/in "MORI" Singapore (manager OR management OR facilities OR "quantity surveyor" OR director)</v>
      </c>
      <c r="AC21" s="4" t="str">
        <v>site:linkedin.com "MORI" Singapore</v>
      </c>
      <c r="AD21" s="13" t="n">
        <v>46298</v>
      </c>
      <c r="AE21" s="11" t="str"/>
    </row>
    <row r="22" ht="50" customHeight="1">
      <c r="A22" s="4" t="str">
        <v>4465</v>
      </c>
      <c r="B22" s="4" t="str">
        <v>NA</v>
      </c>
      <c r="C22" s="4" t="str">
        <v>Julie Anne Rojas</v>
      </c>
      <c r="D22" s="4" t="str">
        <v>Referral lead found</v>
      </c>
      <c r="E22" s="4" t="str">
        <v>Construction-project contributor; title not public</v>
      </c>
      <c r="F22" s="4" t="str">
        <v>DesignBuild Construction Pte Ltd</v>
      </c>
      <c r="G22" s="4" t="str">
        <v>Historical project referral</v>
      </c>
      <c r="H22" s="4" t="str"/>
      <c r="I22" s="4" t="str"/>
      <c r="J22" s="11" t="str">
        <v>https://sg.linkedin.com/in/julie-anne-rojas-0036b672</v>
      </c>
      <c r="K22" s="4" t="str">
        <v>LinkedIn profile only</v>
      </c>
      <c r="L22" s="4" t="str">
        <v>Profile lists basement fit-out works at Nassim Quattro, 49 Nassim Road. This matches the MCST’s recorded development location.</v>
      </c>
      <c r="M22" s="4" t="str">
        <v>August to September 2021</v>
      </c>
      <c r="N22" s="4" t="str">
        <v>Historical basement fit-out connection at the matching address. The original development name is missing, and no current MCST management appointment is established.</v>
      </c>
      <c r="O22" s="11" t="str">
        <v>https://sg.linkedin.com/in/julie-anne-rojas-0036b672</v>
      </c>
      <c r="P22" s="11" t="str">
        <v>https://sg.linkedin.com/in/julie-anne-rojas-0036b672</v>
      </c>
      <c r="Q22" s="11" t="str"/>
      <c r="R22" s="12" t="n">
        <v>1</v>
      </c>
      <c r="S22" s="4" t="str"/>
      <c r="T22" s="4" t="str">
        <v>No published email found</v>
      </c>
      <c r="U22" s="4" t="str">
        <v>NA</v>
      </c>
      <c r="V22" s="4" t="str">
        <v>T17MC0037K</v>
      </c>
      <c r="W22" s="4" t="str">
        <v>49 NASSIM ROAD 258435</v>
      </c>
      <c r="X22" s="4" t="str">
        <v>11 LAGUNA GOLF GREEN 488047</v>
      </c>
      <c r="Y22" s="4" t="str">
        <v>NA</v>
      </c>
      <c r="Z22" s="4" t="str">
        <v>No usable phone or email found</v>
      </c>
      <c r="AA22" s="4" t="str">
        <v>Use Leads for all candidates. Published roles and connections do not confirm current on-site responsibility.</v>
      </c>
      <c r="AB22" s="4" t="str">
        <v>site:linkedin.com/in "49 NASSIM ROAD" Singapore (manager OR management OR facilities OR "quantity surveyor" OR director)</v>
      </c>
      <c r="AC22" s="4" t="str">
        <v>site:linkedin.com "49 NASSIM ROAD" Singapore</v>
      </c>
      <c r="AD22" s="13" t="n">
        <v>46298</v>
      </c>
      <c r="AE22" s="11" t="str"/>
    </row>
    <row r="23" ht="50" customHeight="1">
      <c r="A23" s="4" t="str">
        <v>4979</v>
      </c>
      <c r="B23" s="4" t="str">
        <v>NEU AT NOVENA</v>
      </c>
      <c r="C23" s="4" t="str">
        <v>Won Tai Piao (T. P. Won)</v>
      </c>
      <c r="D23" s="4" t="str">
        <v>Referral lead found</v>
      </c>
      <c r="E23" s="4" t="str">
        <v>Assistant Director, Developments; leads contract, project and property management</v>
      </c>
      <c r="F23" s="4" t="str">
        <v>Roxy-Pacific Holdings</v>
      </c>
      <c r="G23" s="4" t="str">
        <v>Developer management-team referral</v>
      </c>
      <c r="H23" s="4" t="str"/>
      <c r="I23" s="4" t="str"/>
      <c r="J23" s="11" t="str">
        <v>https://sg.linkedin.com/in/t-p-won-0a904034</v>
      </c>
      <c r="K23" s="4" t="str">
        <v>LinkedIn profile only</v>
      </c>
      <c r="L23" s="4" t="str">
        <v>Official leadership page describes Won’s management remit. LinkedIn lists the same employer and a project-management background.</v>
      </c>
      <c r="M23" s="4" t="str">
        <v>Not publicly dated</v>
      </c>
      <c r="N23" s="4" t="str">
        <v>Developer-level referral. A current MCST appointment or individual assignment to this property is not established.</v>
      </c>
      <c r="O23" s="11" t="str">
        <v>https://lwhholdings.com.sg/development/neu-at-novena</v>
      </c>
      <c r="P23" s="11" t="str">
        <v>https://www.roxypacific.com.sg/about-us/meet-our-management/</v>
      </c>
      <c r="Q23" s="11" t="str"/>
      <c r="R23" s="12" t="n">
        <v>2</v>
      </c>
      <c r="S23" s="4" t="str">
        <v>Su Cherry Yin</v>
      </c>
      <c r="T23" s="4" t="str">
        <v>Yes</v>
      </c>
      <c r="U23" s="4" t="str">
        <v>NA</v>
      </c>
      <c r="V23" s="4" t="str">
        <v>T25MC0032A</v>
      </c>
      <c r="W23" s="4" t="str">
        <v>NA</v>
      </c>
      <c r="X23" s="4" t="str">
        <v>27 MOULMEIN RISE B2-01 Neu at Novena 308140</v>
      </c>
      <c r="Y23" s="4" t="str">
        <v>NA</v>
      </c>
      <c r="Z23" s="4" t="str">
        <v>No usable phone or email found</v>
      </c>
      <c r="AA23" s="4" t="str">
        <v>Use Leads for all candidates. Published roles and connections do not confirm current on-site responsibility.</v>
      </c>
      <c r="AB23" s="4" t="str">
        <v>site:linkedin.com/in "NEU AT NOVENA" Singapore (manager OR management OR facilities OR "quantity surveyor" OR director)</v>
      </c>
      <c r="AC23" s="4" t="str">
        <v>site:linkedin.com "NEU AT NOVENA" Singapore</v>
      </c>
      <c r="AD23" s="13" t="n">
        <v>46298</v>
      </c>
      <c r="AE23" s="11" t="str"/>
    </row>
    <row r="24" ht="50" customHeight="1">
      <c r="A24" s="4" t="str">
        <v>4977</v>
      </c>
      <c r="B24" s="4" t="str">
        <v>NORTH GAIA</v>
      </c>
      <c r="C24" s="4" t="str">
        <v>Winnie Wong</v>
      </c>
      <c r="D24" s="4" t="str">
        <v>Referral lead found</v>
      </c>
      <c r="E24" s="4" t="str">
        <v>Senior Managing Director, Property Management</v>
      </c>
      <c r="F24" s="4" t="str">
        <v>Savills Property Management</v>
      </c>
      <c r="G24" s="4" t="str">
        <v>Appointed-agent leadership referral</v>
      </c>
      <c r="H24" s="4" t="str"/>
      <c r="I24" s="4" t="str">
        <v>+65 6346 3238</v>
      </c>
      <c r="J24" s="11" t="str">
        <v>https://sg.linkedin.com/in/winnie-wong-7b784a253</v>
      </c>
      <c r="K24" s="4" t="str">
        <v>Shared Savills property-management office</v>
      </c>
      <c r="L24" s="4" t="str">
        <v>Savills’ own LinkedIn announcement names this development as a managing-agent appointment and tags Winnie Wong.</v>
      </c>
      <c r="M24" s="4" t="str">
        <v>Public appointment announcement; exact end date not shown</v>
      </c>
      <c r="N24" s="4" t="str">
        <v>Company appointment is published. Wong is a company leader, not a confirmed on-site manager. Ask the office for the assigned estate team.</v>
      </c>
      <c r="O24" s="11" t="str">
        <v>https://www.linkedin.com/posts/savills-singapore_savillssingapore-savillssg-savillspropertymanagement-activity-7379002830625550336-8ytU</v>
      </c>
      <c r="P24" s="11" t="str">
        <v>https://www.savills.com.sg/services/property-management.aspx</v>
      </c>
      <c r="Q24" s="11" t="str">
        <v>https://www.savills.com.sg/services/property-management.aspx</v>
      </c>
      <c r="R24" s="12" t="n">
        <v>2</v>
      </c>
      <c r="S24" s="4" t="str">
        <v>Teck Hock Tee</v>
      </c>
      <c r="T24" s="4" t="str">
        <v>No published email found</v>
      </c>
      <c r="U24" s="4" t="str">
        <v>NA</v>
      </c>
      <c r="V24" s="4" t="str">
        <v>T25MC0035L</v>
      </c>
      <c r="W24" s="4" t="str">
        <v>NA</v>
      </c>
      <c r="X24" s="4" t="str">
        <v>45 YISHUN CLOSE 01-42 769294</v>
      </c>
      <c r="Y24" s="4" t="str">
        <v>NA</v>
      </c>
      <c r="Z24" s="4" t="str">
        <v>No usable phone or email found</v>
      </c>
      <c r="AA24" s="4" t="str">
        <v>Use Leads for all candidates. Published roles and connections do not confirm current on-site responsibility.</v>
      </c>
      <c r="AB24" s="4" t="str">
        <v>site:linkedin.com/in "NORTH GAIA" Singapore (manager OR management OR facilities OR "quantity surveyor" OR director)</v>
      </c>
      <c r="AC24" s="4" t="str">
        <v>site:linkedin.com "NORTH GAIA" Singapore</v>
      </c>
      <c r="AD24" s="13" t="n">
        <v>46298</v>
      </c>
      <c r="AE24" s="11" t="str"/>
    </row>
    <row r="25" ht="50" customHeight="1">
      <c r="A25" s="4" t="str">
        <v>4951</v>
      </c>
      <c r="B25" s="4" t="str">
        <v>PENROSE</v>
      </c>
      <c r="C25" s="4" t="str">
        <v>Cheah Ding Ding</v>
      </c>
      <c r="D25" s="4" t="str">
        <v>Referral lead found</v>
      </c>
      <c r="E25" s="4" t="str">
        <v>Architect</v>
      </c>
      <c r="F25" s="4" t="str">
        <v>ADDP Architects LLP</v>
      </c>
      <c r="G25" s="4" t="str">
        <v>Project / consultant referral</v>
      </c>
      <c r="H25" s="4" t="str"/>
      <c r="I25" s="4" t="str"/>
      <c r="J25" s="11" t="str">
        <v>https://sg.linkedin.com/in/ar-cheah-ding-ding-69067a183</v>
      </c>
      <c r="K25" s="4" t="str">
        <v>LinkedIn profile only</v>
      </c>
      <c r="L25" s="4" t="str">
        <v>Profile lists a 2020 Penrose Green Mark award among project achievements.</v>
      </c>
      <c r="M25" s="4" t="str">
        <v>2020 award</v>
      </c>
      <c r="N25" s="4" t="str">
        <v>Design-project referral based on a profile achievement. Does not establish current building-management responsibility.</v>
      </c>
      <c r="O25" s="11" t="str">
        <v>https://sg.linkedin.com/in/ar-cheah-ding-ding-69067a183</v>
      </c>
      <c r="P25" s="11" t="str">
        <v>https://sg.linkedin.com/in/ar-cheah-ding-ding-69067a183</v>
      </c>
      <c r="Q25" s="11" t="str"/>
      <c r="R25" s="12" t="n">
        <v>1</v>
      </c>
      <c r="S25" s="4" t="str"/>
      <c r="T25" s="4" t="str">
        <v>No published email found</v>
      </c>
      <c r="U25" s="4" t="str">
        <v>NA</v>
      </c>
      <c r="V25" s="4" t="str">
        <v>T25MC0030J</v>
      </c>
      <c r="W25" s="4" t="str">
        <v>NA</v>
      </c>
      <c r="X25" s="4" t="str">
        <v>16 RAFFLES QUAY 25-00 048581</v>
      </c>
      <c r="Y25" s="4" t="str">
        <v>NA</v>
      </c>
      <c r="Z25" s="4" t="str">
        <v>No usable phone or email found</v>
      </c>
      <c r="AA25" s="4" t="str">
        <v>Use Leads for all candidates. Published roles and connections do not confirm current on-site responsibility.</v>
      </c>
      <c r="AB25" s="4" t="str">
        <v>site:linkedin.com/in "PENROSE" Singapore (manager OR management OR facilities OR "quantity surveyor" OR director)</v>
      </c>
      <c r="AC25" s="4" t="str">
        <v>site:linkedin.com "PENROSE" Singapore</v>
      </c>
      <c r="AD25" s="13" t="n">
        <v>46298</v>
      </c>
      <c r="AE25" s="11" t="str"/>
    </row>
    <row r="26" ht="50" customHeight="1">
      <c r="A26" s="4" t="str">
        <v>4987</v>
      </c>
      <c r="B26" s="4" t="str">
        <v>TENET</v>
      </c>
      <c r="C26" s="4" t="str">
        <v>Zhengjia Michael Lim</v>
      </c>
      <c r="D26" s="4" t="str">
        <v>Referral lead found</v>
      </c>
      <c r="E26" s="4" t="str">
        <v>Formwork design / supply project contact; exact title not public</v>
      </c>
      <c r="F26" s="4" t="str">
        <v>Tremco Construction Products Group, Asia Pacific (profile employer)</v>
      </c>
      <c r="G26" s="4" t="str">
        <v>Historical project referral</v>
      </c>
      <c r="H26" s="4" t="str"/>
      <c r="I26" s="4" t="str"/>
      <c r="J26" s="11" t="str">
        <v>https://sg.linkedin.com/in/zhengjia-michael-lim-5b0415b8</v>
      </c>
      <c r="K26" s="4" t="str">
        <v>LinkedIn profile only</v>
      </c>
      <c r="L26" s="4" t="str">
        <v>Profile lists Tenet formwork supply, design and shoring calculations.</v>
      </c>
      <c r="M26" s="4" t="str">
        <v>January 2023</v>
      </c>
      <c r="N26" s="4" t="str">
        <v>Historical construction-package referral. Current employer need not be the employer for the Tenet project. No MCST role established.</v>
      </c>
      <c r="O26" s="11" t="str">
        <v>https://sg.linkedin.com/in/zhengjia-michael-lim-5b0415b8</v>
      </c>
      <c r="P26" s="11" t="str">
        <v>https://sg.linkedin.com/in/zhengjia-michael-lim-5b0415b8</v>
      </c>
      <c r="Q26" s="11" t="str"/>
      <c r="R26" s="12" t="n">
        <v>1</v>
      </c>
      <c r="S26" s="4" t="str"/>
      <c r="T26" s="4" t="str">
        <v>No published email found</v>
      </c>
      <c r="U26" s="4" t="str">
        <v>NA</v>
      </c>
      <c r="V26" s="4" t="str">
        <v>T25MC0041K</v>
      </c>
      <c r="W26" s="4" t="str">
        <v>NA</v>
      </c>
      <c r="X26" s="4" t="str">
        <v>60 PAYA LEBAR ROAD 09-13 PAYA LEBAR SQUARE 409051</v>
      </c>
      <c r="Y26" s="4" t="str">
        <v>NA</v>
      </c>
      <c r="Z26" s="4" t="str">
        <v>No usable phone or email found</v>
      </c>
      <c r="AA26" s="4" t="str">
        <v>Use Leads for all candidates. Published roles and connections do not confirm current on-site responsibility.</v>
      </c>
      <c r="AB26" s="4" t="str">
        <v>site:linkedin.com/in "TENET" Singapore (manager OR management OR facilities OR "quantity surveyor" OR director)</v>
      </c>
      <c r="AC26" s="4" t="str">
        <v>site:linkedin.com "TENET" Singapore</v>
      </c>
      <c r="AD26" s="13" t="n">
        <v>46298</v>
      </c>
      <c r="AE26" s="11" t="str"/>
    </row>
    <row r="27" ht="50" customHeight="1">
      <c r="A27" s="4" t="str">
        <v>4940</v>
      </c>
      <c r="B27" s="4" t="str">
        <v>THE ATELIER</v>
      </c>
      <c r="C27" s="4" t="str">
        <v>Julie Anne Rojas</v>
      </c>
      <c r="D27" s="4" t="str">
        <v>Referral lead found</v>
      </c>
      <c r="E27" s="4" t="str">
        <v>Construction-project contributor; title not public</v>
      </c>
      <c r="F27" s="4" t="str">
        <v>DesignBuild Construction Pte Ltd</v>
      </c>
      <c r="G27" s="4" t="str">
        <v>Project / contractor referral</v>
      </c>
      <c r="H27" s="4" t="str"/>
      <c r="I27" s="4" t="str"/>
      <c r="J27" s="11" t="str">
        <v>https://sg.linkedin.com/in/julie-anne-rojas-0036b672</v>
      </c>
      <c r="K27" s="4" t="str">
        <v>LinkedIn profile only</v>
      </c>
      <c r="L27" s="4" t="str">
        <v>Profile lists a 120-unit residential project at 2 Makeway Avenue, matching The Atelier’s recorded address.</v>
      </c>
      <c r="M27" s="4" t="str">
        <v>May 2022</v>
      </c>
      <c r="N27" s="4" t="str">
        <v>Historical construction-project lead. No current MCST management appointment established.</v>
      </c>
      <c r="O27" s="11" t="str">
        <v>https://sg.linkedin.com/in/julie-anne-rojas-0036b672</v>
      </c>
      <c r="P27" s="11" t="str">
        <v>https://sg.linkedin.com/in/julie-anne-rojas-0036b672</v>
      </c>
      <c r="Q27" s="11" t="str"/>
      <c r="R27" s="12" t="n">
        <v>1</v>
      </c>
      <c r="S27" s="4" t="str"/>
      <c r="T27" s="4" t="str">
        <v>No published email found</v>
      </c>
      <c r="U27" s="4" t="str">
        <v>NA</v>
      </c>
      <c r="V27" s="4" t="str">
        <v>T25MC0009B</v>
      </c>
      <c r="W27" s="4" t="str">
        <v>2 MAKEWAY AVENUE 228599</v>
      </c>
      <c r="X27" s="4" t="str">
        <v>2 MAKEWAY AVENUE The Atelier 228599</v>
      </c>
      <c r="Y27" s="4" t="str">
        <v>NA</v>
      </c>
      <c r="Z27" s="4" t="str">
        <v>No usable phone or email found</v>
      </c>
      <c r="AA27" s="4" t="str">
        <v>Use Leads for all candidates. Published roles and connections do not confirm current on-site responsibility.</v>
      </c>
      <c r="AB27" s="4" t="str">
        <v>site:linkedin.com/in "THE ATELIER" Singapore (manager OR management OR facilities OR "quantity surveyor" OR director)</v>
      </c>
      <c r="AC27" s="4" t="str">
        <v>site:linkedin.com "THE ATELIER" Singapore</v>
      </c>
      <c r="AD27" s="13" t="n">
        <v>46298</v>
      </c>
      <c r="AE27" s="11" t="str"/>
    </row>
    <row r="28" ht="50" customHeight="1">
      <c r="A28" s="4" t="str">
        <v>4966</v>
      </c>
      <c r="B28" s="4" t="str">
        <v>THE WATERGARDENS AT CANBERRA</v>
      </c>
      <c r="C28" s="4" t="str">
        <v>Steven Chew</v>
      </c>
      <c r="D28" s="4" t="str">
        <v>Referral lead found</v>
      </c>
      <c r="E28" s="4" t="str">
        <v>Mechanical and electrical design specialist (profile description)</v>
      </c>
      <c r="F28" s="4" t="str">
        <v>United Tec Construction Pte Ltd</v>
      </c>
      <c r="G28" s="4" t="str">
        <v>Project / contractor referral</v>
      </c>
      <c r="H28" s="4" t="str"/>
      <c r="I28" s="4" t="str"/>
      <c r="J28" s="11" t="str">
        <v>https://sg.linkedin.com/in/steven-chew-a90046218z</v>
      </c>
      <c r="K28" s="4" t="str">
        <v>LinkedIn profile only</v>
      </c>
      <c r="L28" s="4" t="str">
        <v>Profile lists both Kopar at Newton and The Watergardens at Canberra as construction projects.</v>
      </c>
      <c r="M28" s="4" t="str">
        <v>Kopar: September 2019; Watergardens: August 2020</v>
      </c>
      <c r="N28" s="4" t="str">
        <v>Historical construction-project connection. Exact current title and ongoing maintenance responsibility are unconfirmed.</v>
      </c>
      <c r="O28" s="11" t="str">
        <v>https://sg.linkedin.com/in/steven-chew-a90046218z</v>
      </c>
      <c r="P28" s="11" t="str">
        <v>https://sg.linkedin.com/in/steven-chew-a90046218z</v>
      </c>
      <c r="Q28" s="11" t="str"/>
      <c r="R28" s="12" t="n">
        <v>1</v>
      </c>
      <c r="S28" s="4" t="str"/>
      <c r="T28" s="4" t="str">
        <v>No published email found</v>
      </c>
      <c r="U28" s="4" t="str">
        <v>NA</v>
      </c>
      <c r="V28" s="4" t="str">
        <v>T26MC0005A</v>
      </c>
      <c r="W28" s="4" t="str">
        <v>NA</v>
      </c>
      <c r="X28" s="4" t="str">
        <v>101 THOMSON ROAD 33-00 307591</v>
      </c>
      <c r="Y28" s="4" t="str">
        <v>NA</v>
      </c>
      <c r="Z28" s="4" t="str">
        <v>No usable phone or email found</v>
      </c>
      <c r="AA28" s="4" t="str">
        <v>Use Leads for all candidates. Published roles and connections do not confirm current on-site responsibility.</v>
      </c>
      <c r="AB28" s="4" t="str">
        <v>site:linkedin.com/in "THE WATERGARDENS AT CANBERRA" Singapore (manager OR management OR facilities OR "quantity surveyor" OR director)</v>
      </c>
      <c r="AC28" s="4" t="str">
        <v>site:linkedin.com "THE WATERGARDENS AT CANBERRA" Singapore</v>
      </c>
      <c r="AD28" s="13" t="n">
        <v>46298</v>
      </c>
      <c r="AE28" s="11" t="str"/>
    </row>
    <row r="29" ht="50" customHeight="1">
      <c r="A29" s="4" t="str">
        <v>0310</v>
      </c>
      <c r="B29" s="4" t="str">
        <v>THONG TECK BUILDING</v>
      </c>
      <c r="C29" s="4" t="str">
        <v>Wing Yan Chang</v>
      </c>
      <c r="D29" s="4" t="str">
        <v>Referral lead found</v>
      </c>
      <c r="E29" s="4" t="str">
        <v>Director &amp; Head of Project Management</v>
      </c>
      <c r="F29" s="4" t="str">
        <v>Colliers Singapore</v>
      </c>
      <c r="G29" s="4" t="str">
        <v>Managing-agent brand referral</v>
      </c>
      <c r="H29" s="4" t="str"/>
      <c r="I29" s="4" t="str">
        <v>+65 6531 8504</v>
      </c>
      <c r="J29" s="11" t="str">
        <v>https://sg.linkedin.com/in/wing-yan-chang-%E9%84%AD%E8%A9%A0%E6%81%A9-8bb69113a</v>
      </c>
      <c r="K29" s="4" t="str">
        <v>Published Colliers business line</v>
      </c>
      <c r="L29" s="4" t="str">
        <v>BCA lists Colliers International Asset Management. Colliers publishes Chang as its Singapore project-management head.</v>
      </c>
      <c r="M29" s="4" t="str">
        <v>Not publicly dated</v>
      </c>
      <c r="N29" s="4" t="str">
        <v>Corporate brand referral. Her project-management division is not confirmed as the building’s asset-management team or on-site manager.</v>
      </c>
      <c r="O29" s="11" t="str">
        <v>https://data.gov.sg/datasets/d_f988c57e16e99ad3a649aa04572efd1c/view</v>
      </c>
      <c r="P29" s="11" t="str">
        <v>https://www.colliers.com/en-sg/countries/singapore/leadership</v>
      </c>
      <c r="Q29" s="11" t="str">
        <v>https://www.colliers.com/en-sg/countries/singapore/leadership</v>
      </c>
      <c r="R29" s="12" t="n">
        <v>1</v>
      </c>
      <c r="S29" s="4" t="str"/>
      <c r="T29" s="4" t="str">
        <v>No published email found</v>
      </c>
      <c r="U29" s="4" t="str">
        <v>NA</v>
      </c>
      <c r="V29" s="4" t="str">
        <v>S76MC0310K</v>
      </c>
      <c r="W29" s="4" t="str">
        <v>15 SCOTTS ROAD 228213</v>
      </c>
      <c r="X29" s="4" t="str">
        <v>15 SCOTTS ROAD 228218</v>
      </c>
      <c r="Y29" s="4" t="str">
        <v>COLLIERS INTERNATIONAL ASSET MANAGEMENT PTE LTD</v>
      </c>
      <c r="Z29" s="4" t="str">
        <v>No usable phone or email found</v>
      </c>
      <c r="AA29" s="4" t="str">
        <v>Use Leads for all candidates. Published roles and connections do not confirm current on-site responsibility.</v>
      </c>
      <c r="AB29" s="4" t="str">
        <v>site:linkedin.com/in "THONG TECK BUILDING" Singapore (manager OR management OR facilities OR "quantity surveyor" OR director)</v>
      </c>
      <c r="AC29" s="4" t="str">
        <v>site:linkedin.com "THONG TECK BUILDING" Singapore</v>
      </c>
      <c r="AD29" s="13" t="n">
        <v>46298</v>
      </c>
      <c r="AE29" s="11" t="str"/>
    </row>
    <row r="30" ht="50" customHeight="1">
      <c r="A30" s="4" t="str">
        <v>0411</v>
      </c>
      <c r="B30" s="4" t="str">
        <v>THONG TECK BUILDING</v>
      </c>
      <c r="C30" s="4" t="str">
        <v>Wing Yan Chang</v>
      </c>
      <c r="D30" s="4" t="str">
        <v>Referral lead found</v>
      </c>
      <c r="E30" s="4" t="str">
        <v>Director &amp; Head of Project Management</v>
      </c>
      <c r="F30" s="4" t="str">
        <v>Colliers Singapore</v>
      </c>
      <c r="G30" s="4" t="str">
        <v>Managing-agent brand referral</v>
      </c>
      <c r="H30" s="4" t="str"/>
      <c r="I30" s="4" t="str">
        <v>+65 6531 8504</v>
      </c>
      <c r="J30" s="11" t="str">
        <v>https://sg.linkedin.com/in/wing-yan-chang-%E9%84%AD%E8%A9%A0%E6%81%A9-8bb69113a</v>
      </c>
      <c r="K30" s="4" t="str">
        <v>Published Colliers business line</v>
      </c>
      <c r="L30" s="4" t="str">
        <v>BCA lists Colliers International Asset Management. Colliers publishes Chang as its Singapore project-management head.</v>
      </c>
      <c r="M30" s="4" t="str">
        <v>Not publicly dated</v>
      </c>
      <c r="N30" s="4" t="str">
        <v>Corporate brand referral. Her project-management division is not confirmed as the building’s asset-management team or on-site manager.</v>
      </c>
      <c r="O30" s="11" t="str">
        <v>https://data.gov.sg/datasets/d_f988c57e16e99ad3a649aa04572efd1c/view</v>
      </c>
      <c r="P30" s="11" t="str">
        <v>https://www.colliers.com/en-sg/countries/singapore/leadership</v>
      </c>
      <c r="Q30" s="11" t="str">
        <v>https://www.colliers.com/en-sg/countries/singapore/leadership</v>
      </c>
      <c r="R30" s="12" t="n">
        <v>1</v>
      </c>
      <c r="S30" s="4" t="str"/>
      <c r="T30" s="4" t="str">
        <v>No published email found</v>
      </c>
      <c r="U30" s="4" t="str">
        <v>NA</v>
      </c>
      <c r="V30" s="4" t="str">
        <v>S78MC0411G</v>
      </c>
      <c r="W30" s="4" t="str">
        <v>15 SCOTTS ROAD 228213</v>
      </c>
      <c r="X30" s="4" t="str">
        <v>15 SCOTTS ROAD THONG TECK BUILDING 228218</v>
      </c>
      <c r="Y30" s="4" t="str">
        <v>COLLIERS INTERNATIONAL ASSET MANAGEMENT PTE LTD</v>
      </c>
      <c r="Z30" s="4" t="str">
        <v>No usable phone or email found</v>
      </c>
      <c r="AA30" s="4" t="str">
        <v>Use Leads for all candidates. Published roles and connections do not confirm current on-site responsibility.</v>
      </c>
      <c r="AB30" s="4" t="str">
        <v>site:linkedin.com/in "THONG TECK BUILDING" Singapore (manager OR management OR facilities OR "quantity surveyor" OR director)</v>
      </c>
      <c r="AC30" s="4" t="str">
        <v>site:linkedin.com "THONG TECK BUILDING" Singapore</v>
      </c>
      <c r="AD30" s="13" t="n">
        <v>46298</v>
      </c>
      <c r="AE30" s="11" t="str"/>
    </row>
    <row r="31" ht="50" customHeight="1">
      <c r="A31" s="4" t="str">
        <v>0439</v>
      </c>
      <c r="B31" s="4" t="str">
        <v>THONG TECK BUILDING</v>
      </c>
      <c r="C31" s="4" t="str">
        <v>Wing Yan Chang</v>
      </c>
      <c r="D31" s="4" t="str">
        <v>Referral lead found</v>
      </c>
      <c r="E31" s="4" t="str">
        <v>Director &amp; Head of Project Management</v>
      </c>
      <c r="F31" s="4" t="str">
        <v>Colliers Singapore</v>
      </c>
      <c r="G31" s="4" t="str">
        <v>Managing-agent brand referral</v>
      </c>
      <c r="H31" s="4" t="str"/>
      <c r="I31" s="4" t="str">
        <v>+65 6531 8504</v>
      </c>
      <c r="J31" s="11" t="str">
        <v>https://sg.linkedin.com/in/wing-yan-chang-%E9%84%AD%E8%A9%A0%E6%81%A9-8bb69113a</v>
      </c>
      <c r="K31" s="4" t="str">
        <v>Published Colliers business line</v>
      </c>
      <c r="L31" s="4" t="str">
        <v>BCA lists Colliers International Asset Management. Colliers publishes Chang as its Singapore project-management head.</v>
      </c>
      <c r="M31" s="4" t="str">
        <v>Not publicly dated</v>
      </c>
      <c r="N31" s="4" t="str">
        <v>Corporate brand referral. Her project-management division is not confirmed as the building’s asset-management team or on-site manager.</v>
      </c>
      <c r="O31" s="11" t="str">
        <v>https://data.gov.sg/datasets/d_f988c57e16e99ad3a649aa04572efd1c/view</v>
      </c>
      <c r="P31" s="11" t="str">
        <v>https://www.colliers.com/en-sg/countries/singapore/leadership</v>
      </c>
      <c r="Q31" s="11" t="str">
        <v>https://www.colliers.com/en-sg/countries/singapore/leadership</v>
      </c>
      <c r="R31" s="12" t="n">
        <v>1</v>
      </c>
      <c r="S31" s="4" t="str"/>
      <c r="T31" s="4" t="str">
        <v>No published email found</v>
      </c>
      <c r="U31" s="4" t="str">
        <v>NA</v>
      </c>
      <c r="V31" s="4" t="str">
        <v>S79MC0439A</v>
      </c>
      <c r="W31" s="4" t="str">
        <v>15 SCOTTS ROAD 228213</v>
      </c>
      <c r="X31" s="4" t="str">
        <v>15 SCOTTS ROAD 228218</v>
      </c>
      <c r="Y31" s="4" t="str">
        <v>COLLIERS INTERNATIONAL ASSET MANAGEMENT PTE LTD</v>
      </c>
      <c r="Z31" s="4" t="str">
        <v>No usable phone or email found</v>
      </c>
      <c r="AA31" s="4" t="str">
        <v>Use Leads for all candidates. Published roles and connections do not confirm current on-site responsibility.</v>
      </c>
      <c r="AB31" s="4" t="str">
        <v>site:linkedin.com/in "THONG TECK BUILDING" Singapore (manager OR management OR facilities OR "quantity surveyor" OR director)</v>
      </c>
      <c r="AC31" s="4" t="str">
        <v>site:linkedin.com "THONG TECK BUILDING" Singapore</v>
      </c>
      <c r="AD31" s="13" t="n">
        <v>46298</v>
      </c>
      <c r="AE31" s="11" t="str"/>
    </row>
    <row r="32" ht="50" customHeight="1">
      <c r="A32" s="4" t="str">
        <v>4399</v>
      </c>
      <c r="B32" s="4" t="str">
        <v>  GOODLAND GROUP BUILDING</v>
      </c>
      <c r="C32" s="4" t="str"/>
      <c r="D32" s="4" t="str">
        <v>No suitable lead found</v>
      </c>
      <c r="E32" s="4" t="str"/>
      <c r="F32" s="4" t="str"/>
      <c r="G32" s="4" t="str"/>
      <c r="H32" s="4" t="str"/>
      <c r="I32" s="4" t="str"/>
      <c r="J32" s="11" t="str"/>
      <c r="K32" s="4" t="str"/>
      <c r="L32" s="4" t="str"/>
      <c r="M32" s="4" t="str"/>
      <c r="N32" s="4" t="str"/>
      <c r="O32" s="11" t="str"/>
      <c r="P32" s="11" t="str"/>
      <c r="Q32" s="11" t="str"/>
      <c r="R32" s="12" t="n">
        <v>0</v>
      </c>
      <c r="S32" s="4" t="str"/>
      <c r="T32" s="4" t="str">
        <v>No published email found</v>
      </c>
      <c r="U32" s="4" t="str">
        <v>NA</v>
      </c>
      <c r="V32" s="4" t="str">
        <v>T16MC0092L</v>
      </c>
      <c r="W32" s="4" t="str">
        <v>3 KIM CHUAN LANE 537069</v>
      </c>
      <c r="X32" s="4" t="str">
        <v>3 KIM CHUAN LANE 07-01 Goodland Group Building 537069</v>
      </c>
      <c r="Y32" s="4" t="str">
        <v>NA</v>
      </c>
      <c r="Z32" s="4" t="str">
        <v>No usable phone or email found</v>
      </c>
      <c r="AA32" s="4" t="str">
        <v>Tenant profiles and unrelated overseas Goodland businesses rejected.</v>
      </c>
      <c r="AB32" s="4" t="str">
        <v>site:linkedin.com/in "GOODLAND GROUP BUILDING" Singapore (manager OR management OR facilities OR "quantity surveyor" OR director)</v>
      </c>
      <c r="AC32" s="4" t="str">
        <v>site:linkedin.com "GOODLAND GROUP BUILDING" Singapore</v>
      </c>
      <c r="AD32" s="13" t="n">
        <v>46298</v>
      </c>
      <c r="AE32" s="11" t="str"/>
    </row>
    <row r="33" ht="50" customHeight="1">
      <c r="A33" s="4" t="str">
        <v>3875</v>
      </c>
      <c r="B33" s="4" t="str">
        <v>133 JOO CHIAT ROAD</v>
      </c>
      <c r="C33" s="4" t="str"/>
      <c r="D33" s="4" t="str">
        <v>No suitable lead found</v>
      </c>
      <c r="E33" s="4" t="str"/>
      <c r="F33" s="4" t="str"/>
      <c r="G33" s="4" t="str"/>
      <c r="H33" s="4" t="str"/>
      <c r="I33" s="4" t="str"/>
      <c r="J33" s="11" t="str"/>
      <c r="K33" s="4" t="str"/>
      <c r="L33" s="4" t="str"/>
      <c r="M33" s="4" t="str"/>
      <c r="N33" s="4" t="str"/>
      <c r="O33" s="11" t="str"/>
      <c r="P33" s="11" t="str"/>
      <c r="Q33" s="11" t="str"/>
      <c r="R33" s="12" t="n">
        <v>0</v>
      </c>
      <c r="S33" s="4" t="str"/>
      <c r="T33" s="4" t="str">
        <v>No published email found</v>
      </c>
      <c r="U33" s="4" t="str">
        <v>NA</v>
      </c>
      <c r="V33" s="4" t="str">
        <v>T13MC0005E</v>
      </c>
      <c r="W33" s="4" t="str">
        <v>133 JOO CHIAT ROAD 427865</v>
      </c>
      <c r="X33" s="4" t="str">
        <v>57 MARINE TERRACE 01-113 440057</v>
      </c>
      <c r="Y33" s="4" t="str">
        <v>NA</v>
      </c>
      <c r="Z33" s="4" t="str">
        <v>No usable phone or email found</v>
      </c>
      <c r="AA33" s="4" t="str">
        <v>No relevant professional relationship established from the property/MCST LinkedIn searches. This does not prove no contact exists.</v>
      </c>
      <c r="AB33" s="4" t="str">
        <v>site:linkedin.com/in "133 JOO CHIAT ROAD" Singapore (manager OR management OR facilities OR "quantity surveyor" OR director)</v>
      </c>
      <c r="AC33" s="4" t="str">
        <v>site:linkedin.com "133 JOO CHIAT ROAD" Singapore</v>
      </c>
      <c r="AD33" s="13" t="n">
        <v>46298</v>
      </c>
      <c r="AE33" s="11" t="str"/>
    </row>
    <row r="34" ht="50" customHeight="1">
      <c r="A34" s="4" t="str">
        <v>4481</v>
      </c>
      <c r="B34" s="4" t="str">
        <v>28RC SUITES</v>
      </c>
      <c r="C34" s="4" t="str"/>
      <c r="D34" s="4" t="str">
        <v>No suitable lead found</v>
      </c>
      <c r="E34" s="4" t="str"/>
      <c r="F34" s="4" t="str"/>
      <c r="G34" s="4" t="str"/>
      <c r="H34" s="4" t="str"/>
      <c r="I34" s="4" t="str"/>
      <c r="J34" s="11" t="str"/>
      <c r="K34" s="4" t="str"/>
      <c r="L34" s="4" t="str"/>
      <c r="M34" s="4" t="str"/>
      <c r="N34" s="4" t="str"/>
      <c r="O34" s="11" t="str"/>
      <c r="P34" s="11" t="str"/>
      <c r="Q34" s="11" t="str"/>
      <c r="R34" s="12" t="n">
        <v>0</v>
      </c>
      <c r="S34" s="4" t="str"/>
      <c r="T34" s="4" t="str">
        <v>No published email found</v>
      </c>
      <c r="U34" s="4" t="str">
        <v>NA</v>
      </c>
      <c r="V34" s="4" t="str">
        <v>T17MC0041F</v>
      </c>
      <c r="W34" s="4" t="str">
        <v>28 RACE COURSE LANE 218746</v>
      </c>
      <c r="X34" s="4" t="str">
        <v>28 RACE COURSE LANE 28RC SUITES 218746</v>
      </c>
      <c r="Y34" s="4" t="str">
        <v>NA</v>
      </c>
      <c r="Z34" s="4" t="str">
        <v>No usable phone or email found</v>
      </c>
      <c r="AA34" s="4" t="str">
        <v>No relevant professional relationship established from the property/MCST LinkedIn searches. This does not prove no contact exists.</v>
      </c>
      <c r="AB34" s="4" t="str">
        <v>site:linkedin.com/in "28RC SUITES" Singapore (manager OR management OR facilities OR "quantity surveyor" OR director)</v>
      </c>
      <c r="AC34" s="4" t="str">
        <v>site:linkedin.com "28RC SUITES" Singapore</v>
      </c>
      <c r="AD34" s="13" t="n">
        <v>46298</v>
      </c>
      <c r="AE34" s="11" t="str"/>
    </row>
    <row r="35" ht="50" customHeight="1">
      <c r="A35" s="4" t="str">
        <v>2834</v>
      </c>
      <c r="B35" s="4" t="str">
        <v>305A/B/C TANJONG KATONG ROAD</v>
      </c>
      <c r="C35" s="4" t="str"/>
      <c r="D35" s="4" t="str">
        <v>No suitable lead found</v>
      </c>
      <c r="E35" s="4" t="str"/>
      <c r="F35" s="4" t="str"/>
      <c r="G35" s="4" t="str"/>
      <c r="H35" s="4" t="str"/>
      <c r="I35" s="4" t="str"/>
      <c r="J35" s="11" t="str"/>
      <c r="K35" s="4" t="str"/>
      <c r="L35" s="4" t="str"/>
      <c r="M35" s="4" t="str"/>
      <c r="N35" s="4" t="str"/>
      <c r="O35" s="11" t="str"/>
      <c r="P35" s="11" t="str"/>
      <c r="Q35" s="11" t="str"/>
      <c r="R35" s="12" t="n">
        <v>0</v>
      </c>
      <c r="S35" s="4" t="str"/>
      <c r="T35" s="4" t="str">
        <v>No published email found</v>
      </c>
      <c r="U35" s="4" t="str">
        <v>NA</v>
      </c>
      <c r="V35" s="4" t="str">
        <v>T04MC2834B</v>
      </c>
      <c r="W35" s="4" t="str">
        <v>305 TANJONG KATONG ROAD 437088</v>
      </c>
      <c r="X35" s="4" t="str">
        <v>82 FLORA ROAD 08-08 507000</v>
      </c>
      <c r="Y35" s="4" t="str">
        <v>NA</v>
      </c>
      <c r="Z35" s="4" t="str">
        <v>No usable phone or email found</v>
      </c>
      <c r="AA35" s="4" t="str">
        <v>No relevant professional relationship established from the property/MCST LinkedIn searches. This does not prove no contact exists.</v>
      </c>
      <c r="AB35" s="4" t="str">
        <v>site:linkedin.com/in "305A/B/C TANJONG KATONG ROAD" Singapore (manager OR management OR facilities OR "quantity surveyor" OR director)</v>
      </c>
      <c r="AC35" s="4" t="str">
        <v>site:linkedin.com "305A/B/C TANJONG KATONG ROAD" Singapore</v>
      </c>
      <c r="AD35" s="13" t="n">
        <v>46298</v>
      </c>
      <c r="AE35" s="11" t="str"/>
    </row>
    <row r="36" ht="50" customHeight="1">
      <c r="A36" s="4" t="str">
        <v>2219</v>
      </c>
      <c r="B36" s="4" t="str">
        <v>33W X Y Z CHANCERY LANE</v>
      </c>
      <c r="C36" s="4" t="str"/>
      <c r="D36" s="4" t="str">
        <v>No suitable lead found</v>
      </c>
      <c r="E36" s="4" t="str"/>
      <c r="F36" s="4" t="str"/>
      <c r="G36" s="4" t="str"/>
      <c r="H36" s="4" t="str"/>
      <c r="I36" s="4" t="str"/>
      <c r="J36" s="11" t="str"/>
      <c r="K36" s="4" t="str"/>
      <c r="L36" s="4" t="str"/>
      <c r="M36" s="4" t="str"/>
      <c r="N36" s="4" t="str"/>
      <c r="O36" s="11" t="str"/>
      <c r="P36" s="11" t="str"/>
      <c r="Q36" s="11" t="str"/>
      <c r="R36" s="12" t="n">
        <v>0</v>
      </c>
      <c r="S36" s="4" t="str"/>
      <c r="T36" s="4" t="str">
        <v>No published email found</v>
      </c>
      <c r="U36" s="4" t="str">
        <v>NA</v>
      </c>
      <c r="V36" s="4" t="str">
        <v>S98MC2219C</v>
      </c>
      <c r="W36" s="4" t="str">
        <v>33Z CHANCERY LANE 309593</v>
      </c>
      <c r="X36" s="4" t="str">
        <v>31D CHANCERY LANE 309552</v>
      </c>
      <c r="Y36" s="4" t="str">
        <v>NA</v>
      </c>
      <c r="Z36" s="4" t="str">
        <v>No usable phone or email found</v>
      </c>
      <c r="AA36" s="4" t="str">
        <v>No relevant professional relationship established from the property/MCST LinkedIn searches. This does not prove no contact exists.</v>
      </c>
      <c r="AB36" s="4" t="str">
        <v>site:linkedin.com/in "33W X Y Z CHANCERY LANE" Singapore (manager OR management OR facilities OR "quantity surveyor" OR director)</v>
      </c>
      <c r="AC36" s="4" t="str">
        <v>site:linkedin.com "33W X Y Z CHANCERY LANE" Singapore</v>
      </c>
      <c r="AD36" s="13" t="n">
        <v>46298</v>
      </c>
      <c r="AE36" s="11" t="str"/>
    </row>
    <row r="37" ht="50" customHeight="1">
      <c r="A37" s="4" t="str">
        <v>4453</v>
      </c>
      <c r="B37" s="4" t="str">
        <v>40| 40A &amp; 40B  JANSEN ROAD</v>
      </c>
      <c r="C37" s="4" t="str"/>
      <c r="D37" s="4" t="str">
        <v>No suitable lead found</v>
      </c>
      <c r="E37" s="4" t="str"/>
      <c r="F37" s="4" t="str"/>
      <c r="G37" s="4" t="str"/>
      <c r="H37" s="4" t="str"/>
      <c r="I37" s="4" t="str"/>
      <c r="J37" s="11" t="str"/>
      <c r="K37" s="4" t="str"/>
      <c r="L37" s="4" t="str"/>
      <c r="M37" s="4" t="str"/>
      <c r="N37" s="4" t="str"/>
      <c r="O37" s="11" t="str"/>
      <c r="P37" s="11" t="str"/>
      <c r="Q37" s="11" t="str"/>
      <c r="R37" s="12" t="n">
        <v>0</v>
      </c>
      <c r="S37" s="4" t="str"/>
      <c r="T37" s="4" t="str">
        <v>No published email found</v>
      </c>
      <c r="U37" s="4" t="str">
        <v>NA</v>
      </c>
      <c r="V37" s="4" t="str">
        <v>T17MC0012J</v>
      </c>
      <c r="W37" s="4" t="str">
        <v>40 JANSEN ROAD 544848</v>
      </c>
      <c r="X37" s="4" t="str">
        <v>40 JANSEN ROAD 544845</v>
      </c>
      <c r="Y37" s="4" t="str">
        <v>NA</v>
      </c>
      <c r="Z37" s="4" t="str">
        <v>No usable phone or email found</v>
      </c>
      <c r="AA37" s="4" t="str">
        <v>No relevant professional relationship established from the property/MCST LinkedIn searches. This does not prove no contact exists.</v>
      </c>
      <c r="AB37" s="4" t="str">
        <v>site:linkedin.com/in "40| 40A &amp; 40B  JANSEN ROAD" Singapore (manager OR management OR facilities OR "quantity surveyor" OR director)</v>
      </c>
      <c r="AC37" s="4" t="str">
        <v>site:linkedin.com "40| 40A &amp; 40B  JANSEN ROAD" Singapore</v>
      </c>
      <c r="AD37" s="13" t="n">
        <v>46298</v>
      </c>
      <c r="AE37" s="11" t="str"/>
    </row>
    <row r="38" ht="50" customHeight="1">
      <c r="A38" s="4" t="str">
        <v>3755</v>
      </c>
      <c r="B38" s="4" t="str">
        <v>61 JOO CHIAT LANE</v>
      </c>
      <c r="C38" s="4" t="str"/>
      <c r="D38" s="4" t="str">
        <v>No suitable lead found</v>
      </c>
      <c r="E38" s="4" t="str"/>
      <c r="F38" s="4" t="str"/>
      <c r="G38" s="4" t="str"/>
      <c r="H38" s="4" t="str"/>
      <c r="I38" s="4" t="str"/>
      <c r="J38" s="11" t="str"/>
      <c r="K38" s="4" t="str"/>
      <c r="L38" s="4" t="str"/>
      <c r="M38" s="4" t="str"/>
      <c r="N38" s="4" t="str"/>
      <c r="O38" s="11" t="str"/>
      <c r="P38" s="11" t="str"/>
      <c r="Q38" s="11" t="str"/>
      <c r="R38" s="12" t="n">
        <v>0</v>
      </c>
      <c r="S38" s="4" t="str"/>
      <c r="T38" s="4" t="str">
        <v>No published email found</v>
      </c>
      <c r="U38" s="4" t="str">
        <v>NA</v>
      </c>
      <c r="V38" s="4" t="str">
        <v>T11MC0090E</v>
      </c>
      <c r="W38" s="4" t="str">
        <v>61 JOO CHIAT LANE 428111</v>
      </c>
      <c r="X38" s="4" t="str">
        <v>61 JOO CHIAT LANE 01-01 428111</v>
      </c>
      <c r="Y38" s="4" t="str">
        <v>NA</v>
      </c>
      <c r="Z38" s="4" t="str">
        <v>No usable phone or email found</v>
      </c>
      <c r="AA38" s="4" t="str">
        <v>No relevant professional relationship established from the property/MCST LinkedIn searches. This does not prove no contact exists.</v>
      </c>
      <c r="AB38" s="4" t="str">
        <v>site:linkedin.com/in "61 JOO CHIAT LANE" Singapore (manager OR management OR facilities OR "quantity surveyor" OR director)</v>
      </c>
      <c r="AC38" s="4" t="str">
        <v>site:linkedin.com "61 JOO CHIAT LANE" Singapore</v>
      </c>
      <c r="AD38" s="13" t="n">
        <v>46298</v>
      </c>
      <c r="AE38" s="11" t="str"/>
    </row>
    <row r="39" ht="50" customHeight="1">
      <c r="A39" s="4" t="str">
        <v>1772</v>
      </c>
      <c r="B39" s="4" t="str">
        <v>AFFLUENCE COURT</v>
      </c>
      <c r="C39" s="4" t="str"/>
      <c r="D39" s="4" t="str">
        <v>No suitable lead found</v>
      </c>
      <c r="E39" s="4" t="str"/>
      <c r="F39" s="4" t="str"/>
      <c r="G39" s="4" t="str"/>
      <c r="H39" s="4" t="str"/>
      <c r="I39" s="4" t="str"/>
      <c r="J39" s="11" t="str"/>
      <c r="K39" s="4" t="str"/>
      <c r="L39" s="4" t="str"/>
      <c r="M39" s="4" t="str"/>
      <c r="N39" s="4" t="str"/>
      <c r="O39" s="11" t="str"/>
      <c r="P39" s="11" t="str"/>
      <c r="Q39" s="11" t="str"/>
      <c r="R39" s="12" t="n">
        <v>0</v>
      </c>
      <c r="S39" s="4" t="str"/>
      <c r="T39" s="4" t="str">
        <v>No published email found</v>
      </c>
      <c r="U39" s="4" t="str">
        <v>NA</v>
      </c>
      <c r="V39" s="4" t="str">
        <v>S93MC1772L</v>
      </c>
      <c r="W39" s="4" t="str">
        <v>8 AH SOO GARDEN 539960</v>
      </c>
      <c r="X39" s="4" t="str">
        <v>8 AH SOO GARDEN 01-01 AFFLUENCE COURT 539960</v>
      </c>
      <c r="Y39" s="4" t="str">
        <v>NA</v>
      </c>
      <c r="Z39" s="4" t="str">
        <v>No usable phone or email found</v>
      </c>
      <c r="AA39" s="4" t="str">
        <v>No relevant professional relationship established from the property/MCST LinkedIn searches. This does not prove no contact exists.</v>
      </c>
      <c r="AB39" s="4" t="str">
        <v>site:linkedin.com/in "AFFLUENCE COURT" Singapore (manager OR management OR facilities OR "quantity surveyor" OR director)</v>
      </c>
      <c r="AC39" s="4" t="str">
        <v>site:linkedin.com "AFFLUENCE COURT" Singapore</v>
      </c>
      <c r="AD39" s="13" t="n">
        <v>46298</v>
      </c>
      <c r="AE39" s="11" t="str"/>
    </row>
    <row r="40" ht="50" customHeight="1">
      <c r="A40" s="4" t="str">
        <v>0005</v>
      </c>
      <c r="B40" s="4" t="str">
        <v>BENG TONG MANSION</v>
      </c>
      <c r="C40" s="4" t="str"/>
      <c r="D40" s="4" t="str">
        <v>No suitable lead found</v>
      </c>
      <c r="E40" s="4" t="str"/>
      <c r="F40" s="4" t="str"/>
      <c r="G40" s="4" t="str"/>
      <c r="H40" s="4" t="str"/>
      <c r="I40" s="4" t="str"/>
      <c r="J40" s="11" t="str"/>
      <c r="K40" s="4" t="str"/>
      <c r="L40" s="4" t="str"/>
      <c r="M40" s="4" t="str"/>
      <c r="N40" s="4" t="str"/>
      <c r="O40" s="11" t="str"/>
      <c r="P40" s="11" t="str"/>
      <c r="Q40" s="11" t="str"/>
      <c r="R40" s="12" t="n">
        <v>0</v>
      </c>
      <c r="S40" s="4" t="str"/>
      <c r="T40" s="4" t="str">
        <v>No published email found</v>
      </c>
      <c r="U40" s="4" t="str">
        <v>NA</v>
      </c>
      <c r="V40" s="4" t="str">
        <v>S68MC0005H</v>
      </c>
      <c r="W40" s="4" t="str">
        <v>253B TANJONG KATONG ROAD 437041</v>
      </c>
      <c r="X40" s="4" t="str">
        <v>253B TANJONG KATONG ROAD 437041</v>
      </c>
      <c r="Y40" s="4" t="str">
        <v>MCST</v>
      </c>
      <c r="Z40" s="4" t="str">
        <v>No usable phone or email found</v>
      </c>
      <c r="AA40" s="4" t="str">
        <v>No relevant professional relationship established from the property/MCST LinkedIn searches. This does not prove no contact exists.</v>
      </c>
      <c r="AB40" s="4" t="str">
        <v>site:linkedin.com/in "Beng Tong Mansion" Singapore (manager OR management OR facilities OR "quantity surveyor" OR director)</v>
      </c>
      <c r="AC40" s="4" t="str">
        <v>site:linkedin.com "Beng Tong Mansion" Singapore</v>
      </c>
      <c r="AD40" s="13" t="n">
        <v>46298</v>
      </c>
      <c r="AE40" s="11" t="str"/>
    </row>
    <row r="41" ht="50" customHeight="1">
      <c r="A41" s="4" t="str">
        <v>0006</v>
      </c>
      <c r="B41" s="4" t="str">
        <v>BENG TONG MANSION</v>
      </c>
      <c r="C41" s="4" t="str"/>
      <c r="D41" s="4" t="str">
        <v>No suitable lead found</v>
      </c>
      <c r="E41" s="4" t="str"/>
      <c r="F41" s="4" t="str"/>
      <c r="G41" s="4" t="str"/>
      <c r="H41" s="4" t="str"/>
      <c r="I41" s="4" t="str"/>
      <c r="J41" s="11" t="str"/>
      <c r="K41" s="4" t="str"/>
      <c r="L41" s="4" t="str"/>
      <c r="M41" s="4" t="str"/>
      <c r="N41" s="4" t="str"/>
      <c r="O41" s="11" t="str"/>
      <c r="P41" s="11" t="str"/>
      <c r="Q41" s="11" t="str"/>
      <c r="R41" s="12" t="n">
        <v>0</v>
      </c>
      <c r="S41" s="4" t="str"/>
      <c r="T41" s="4" t="str">
        <v>No published email found</v>
      </c>
      <c r="U41" s="4" t="str">
        <v>NA</v>
      </c>
      <c r="V41" s="4" t="str">
        <v>S68MC0006D</v>
      </c>
      <c r="W41" s="4" t="str">
        <v>245B TANJONG KATONG ROAD 437033</v>
      </c>
      <c r="X41" s="4" t="str">
        <v>245 TANJONG KATONG ROAD 437033</v>
      </c>
      <c r="Y41" s="4" t="str">
        <v>MCST</v>
      </c>
      <c r="Z41" s="4" t="str">
        <v>No usable phone or email found</v>
      </c>
      <c r="AA41" s="4" t="str">
        <v>No relevant professional relationship established from the property/MCST LinkedIn searches. This does not prove no contact exists.</v>
      </c>
      <c r="AB41" s="4" t="str">
        <v>site:linkedin.com/in "Beng Tong Mansion" Singapore (manager OR management OR facilities OR "quantity surveyor" OR director)</v>
      </c>
      <c r="AC41" s="4" t="str">
        <v>site:linkedin.com "Beng Tong Mansion" Singapore</v>
      </c>
      <c r="AD41" s="13" t="n">
        <v>46298</v>
      </c>
      <c r="AE41" s="11" t="str"/>
    </row>
    <row r="42" ht="50" customHeight="1">
      <c r="A42" s="4" t="str">
        <v>4955</v>
      </c>
      <c r="B42" s="4" t="str">
        <v>Botanic @ Cluny Park</v>
      </c>
      <c r="C42" s="4" t="str"/>
      <c r="D42" s="4" t="str">
        <v>No suitable lead found</v>
      </c>
      <c r="E42" s="4" t="str"/>
      <c r="F42" s="4" t="str"/>
      <c r="G42" s="4" t="str"/>
      <c r="H42" s="4" t="str"/>
      <c r="I42" s="4" t="str"/>
      <c r="J42" s="11" t="str"/>
      <c r="K42" s="4" t="str"/>
      <c r="L42" s="4" t="str"/>
      <c r="M42" s="4" t="str"/>
      <c r="N42" s="4" t="str"/>
      <c r="O42" s="11" t="str"/>
      <c r="P42" s="11" t="str"/>
      <c r="Q42" s="11" t="str"/>
      <c r="R42" s="12" t="n">
        <v>0</v>
      </c>
      <c r="S42" s="4" t="str"/>
      <c r="T42" s="4" t="str">
        <v>No published email found</v>
      </c>
      <c r="U42" s="4" t="str">
        <v>NA</v>
      </c>
      <c r="V42" s="4" t="str">
        <v>T25MC0029A</v>
      </c>
      <c r="W42" s="4" t="str">
        <v>NA</v>
      </c>
      <c r="X42" s="4" t="str">
        <v>75 CLUNY PARK ROAD 257487</v>
      </c>
      <c r="Y42" s="4" t="str">
        <v>NA</v>
      </c>
      <c r="Z42" s="4" t="str">
        <v>No usable phone or email found</v>
      </c>
      <c r="AA42" s="4" t="str">
        <v>Botanic Gardens staff and Cluny Road references did not establish a connection to this development.</v>
      </c>
      <c r="AB42" s="4" t="str">
        <v>site:linkedin.com/in "Botanic @ Cluny Park" Singapore (manager OR management OR facilities OR "quantity surveyor" OR director)</v>
      </c>
      <c r="AC42" s="4" t="str">
        <v>site:linkedin.com "Botanic @ Cluny Park" Singapore</v>
      </c>
      <c r="AD42" s="13" t="n">
        <v>46298</v>
      </c>
      <c r="AE42" s="11" t="str"/>
    </row>
    <row r="43" ht="50" customHeight="1">
      <c r="A43" s="4" t="str">
        <v>1767</v>
      </c>
      <c r="B43" s="4" t="str">
        <v>CASA MELWANI</v>
      </c>
      <c r="C43" s="4" t="str"/>
      <c r="D43" s="4" t="str">
        <v>No suitable lead found</v>
      </c>
      <c r="E43" s="4" t="str"/>
      <c r="F43" s="4" t="str"/>
      <c r="G43" s="4" t="str"/>
      <c r="H43" s="4" t="str"/>
      <c r="I43" s="4" t="str"/>
      <c r="J43" s="11" t="str"/>
      <c r="K43" s="4" t="str"/>
      <c r="L43" s="4" t="str"/>
      <c r="M43" s="4" t="str"/>
      <c r="N43" s="4" t="str"/>
      <c r="O43" s="11" t="str"/>
      <c r="P43" s="11" t="str"/>
      <c r="Q43" s="11" t="str"/>
      <c r="R43" s="12" t="n">
        <v>0</v>
      </c>
      <c r="S43" s="4" t="str"/>
      <c r="T43" s="4" t="str">
        <v>No published email found</v>
      </c>
      <c r="U43" s="4" t="str">
        <v>NA</v>
      </c>
      <c r="V43" s="4" t="str">
        <v>S93MC1767H</v>
      </c>
      <c r="W43" s="4" t="str">
        <v>7 SURREY ROAD 307746</v>
      </c>
      <c r="X43" s="4" t="str">
        <v>7 SURREY ROAD 09-00 CASA MELWANI 307746</v>
      </c>
      <c r="Y43" s="4" t="str">
        <v>NA</v>
      </c>
      <c r="Z43" s="4" t="str">
        <v>No usable phone or email found</v>
      </c>
      <c r="AA43" s="4" t="str">
        <v>No relevant professional relationship established from the property/MCST LinkedIn searches. This does not prove no contact exists.</v>
      </c>
      <c r="AB43" s="4" t="str">
        <v>site:linkedin.com/in "CASA MELWANI" Singapore (manager OR management OR facilities OR "quantity surveyor" OR director)</v>
      </c>
      <c r="AC43" s="4" t="str">
        <v>site:linkedin.com "CASA MELWANI" Singapore</v>
      </c>
      <c r="AD43" s="13" t="n">
        <v>46298</v>
      </c>
      <c r="AE43" s="11" t="str"/>
    </row>
    <row r="44" ht="50" customHeight="1">
      <c r="A44" s="4" t="str">
        <v>1688</v>
      </c>
      <c r="B44" s="4" t="str">
        <v>E7 LODGE</v>
      </c>
      <c r="C44" s="4" t="str"/>
      <c r="D44" s="4" t="str">
        <v>No suitable lead found</v>
      </c>
      <c r="E44" s="4" t="str"/>
      <c r="F44" s="4" t="str"/>
      <c r="G44" s="4" t="str"/>
      <c r="H44" s="4" t="str"/>
      <c r="I44" s="4" t="str"/>
      <c r="J44" s="11" t="str"/>
      <c r="K44" s="4" t="str"/>
      <c r="L44" s="4" t="str"/>
      <c r="M44" s="4" t="str"/>
      <c r="N44" s="4" t="str"/>
      <c r="O44" s="11" t="str"/>
      <c r="P44" s="11" t="str"/>
      <c r="Q44" s="11" t="str"/>
      <c r="R44" s="12" t="n">
        <v>0</v>
      </c>
      <c r="S44" s="4" t="str"/>
      <c r="T44" s="4" t="str">
        <v>No published email found</v>
      </c>
      <c r="U44" s="4" t="str">
        <v>NA</v>
      </c>
      <c r="V44" s="4" t="str">
        <v>S92MC1688G</v>
      </c>
      <c r="W44" s="4" t="str">
        <v>66  LORONG MELAYU 416953</v>
      </c>
      <c r="X44" s="4" t="str">
        <v>66 LORONG MELAYU 01-05 E7 LODGE 416953</v>
      </c>
      <c r="Y44" s="4" t="str">
        <v>NA</v>
      </c>
      <c r="Z44" s="4" t="str">
        <v>No usable phone or email found</v>
      </c>
      <c r="AA44" s="4" t="str">
        <v>No relevant professional relationship established from the property/MCST LinkedIn searches. This does not prove no contact exists.</v>
      </c>
      <c r="AB44" s="4" t="str">
        <v>site:linkedin.com/in "E7 LODGE" Singapore (manager OR management OR facilities OR "quantity surveyor" OR director)</v>
      </c>
      <c r="AC44" s="4" t="str">
        <v>site:linkedin.com "E7 LODGE" Singapore</v>
      </c>
      <c r="AD44" s="13" t="n">
        <v>46298</v>
      </c>
      <c r="AE44" s="11" t="str"/>
    </row>
    <row r="45" ht="50" customHeight="1">
      <c r="A45" s="4" t="str">
        <v>4986</v>
      </c>
      <c r="B45" s="4" t="str">
        <v>FOOD VISION @ MANDAI</v>
      </c>
      <c r="C45" s="4" t="str"/>
      <c r="D45" s="4" t="str">
        <v>No suitable lead found</v>
      </c>
      <c r="E45" s="4" t="str"/>
      <c r="F45" s="4" t="str"/>
      <c r="G45" s="4" t="str"/>
      <c r="H45" s="4" t="str"/>
      <c r="I45" s="4" t="str"/>
      <c r="J45" s="11" t="str"/>
      <c r="K45" s="4" t="str"/>
      <c r="L45" s="4" t="str"/>
      <c r="M45" s="4" t="str"/>
      <c r="N45" s="4" t="str"/>
      <c r="O45" s="11" t="str"/>
      <c r="P45" s="11" t="str"/>
      <c r="Q45" s="11" t="str"/>
      <c r="R45" s="12" t="n">
        <v>0</v>
      </c>
      <c r="S45" s="4" t="str"/>
      <c r="T45" s="4" t="str">
        <v>No published email found</v>
      </c>
      <c r="U45" s="4" t="str">
        <v>NA</v>
      </c>
      <c r="V45" s="4" t="str">
        <v>T25MC0042F</v>
      </c>
      <c r="W45" s="4" t="str">
        <v>NA</v>
      </c>
      <c r="X45" s="4" t="str">
        <v>205 UPPER BUKIT TIMAH ROAD 04-01 588181</v>
      </c>
      <c r="Y45" s="4" t="str">
        <v>NA</v>
      </c>
      <c r="Z45" s="4" t="str">
        <v>No usable phone or email found</v>
      </c>
      <c r="AA45" s="4" t="str">
        <v>Sales and project-marketing references found; no suitable manager, QS or technical professional established.</v>
      </c>
      <c r="AB45" s="4" t="str">
        <v>site:linkedin.com/in "FOOD VISION @ MANDAI" Singapore (manager OR management OR facilities OR "quantity surveyor" OR director)</v>
      </c>
      <c r="AC45" s="4" t="str">
        <v>site:linkedin.com "FOOD VISION @ MANDAI" Singapore</v>
      </c>
      <c r="AD45" s="13" t="n">
        <v>46298</v>
      </c>
      <c r="AE45" s="11" t="str"/>
    </row>
    <row r="46" ht="50" customHeight="1">
      <c r="A46" s="4" t="str">
        <v>4812</v>
      </c>
      <c r="B46" s="4" t="str">
        <v>GWP Centre</v>
      </c>
      <c r="C46" s="4" t="str"/>
      <c r="D46" s="4" t="str">
        <v>No suitable lead found</v>
      </c>
      <c r="E46" s="4" t="str"/>
      <c r="F46" s="4" t="str"/>
      <c r="G46" s="4" t="str"/>
      <c r="H46" s="4" t="str"/>
      <c r="I46" s="4" t="str"/>
      <c r="J46" s="11" t="str"/>
      <c r="K46" s="4" t="str"/>
      <c r="L46" s="4" t="str"/>
      <c r="M46" s="4" t="str"/>
      <c r="N46" s="4" t="str"/>
      <c r="O46" s="11" t="str"/>
      <c r="P46" s="11" t="str"/>
      <c r="Q46" s="11" t="str"/>
      <c r="R46" s="12" t="n">
        <v>0</v>
      </c>
      <c r="S46" s="4" t="str"/>
      <c r="T46" s="4" t="str">
        <v>No published email found</v>
      </c>
      <c r="U46" s="4" t="str">
        <v>NA</v>
      </c>
      <c r="V46" s="4" t="str">
        <v>T23MC0025G</v>
      </c>
      <c r="W46" s="4" t="str">
        <v>NA</v>
      </c>
      <c r="X46" s="4" t="str">
        <v>24 RAFFLES PLACE 24-03 048621</v>
      </c>
      <c r="Y46" s="4" t="str">
        <v>NA</v>
      </c>
      <c r="Z46" s="4" t="str">
        <v>No usable phone or email found</v>
      </c>
      <c r="AA46" s="4" t="str">
        <v>No suitable building-management or project professional established.</v>
      </c>
      <c r="AB46" s="4" t="str">
        <v>site:linkedin.com/in "GWP Centre" Singapore (manager OR management OR facilities OR "quantity surveyor" OR director)</v>
      </c>
      <c r="AC46" s="4" t="str">
        <v>site:linkedin.com "GWP Centre" Singapore</v>
      </c>
      <c r="AD46" s="13" t="n">
        <v>46298</v>
      </c>
      <c r="AE46" s="11" t="str"/>
    </row>
    <row r="47" ht="50" customHeight="1">
      <c r="A47" s="4" t="str">
        <v>2292</v>
      </c>
      <c r="B47" s="4" t="str">
        <v>HARRISON INDUSTRIAL BUIDLING</v>
      </c>
      <c r="C47" s="4" t="str"/>
      <c r="D47" s="4" t="str">
        <v>No suitable lead found</v>
      </c>
      <c r="E47" s="4" t="str"/>
      <c r="F47" s="4" t="str"/>
      <c r="G47" s="4" t="str"/>
      <c r="H47" s="4" t="str"/>
      <c r="I47" s="4" t="str"/>
      <c r="J47" s="11" t="str"/>
      <c r="K47" s="4" t="str"/>
      <c r="L47" s="4" t="str"/>
      <c r="M47" s="4" t="str"/>
      <c r="N47" s="4" t="str"/>
      <c r="O47" s="11" t="str"/>
      <c r="P47" s="11" t="str"/>
      <c r="Q47" s="11" t="str"/>
      <c r="R47" s="12" t="n">
        <v>0</v>
      </c>
      <c r="S47" s="4" t="str"/>
      <c r="T47" s="4" t="str">
        <v>No published email found</v>
      </c>
      <c r="U47" s="4" t="str">
        <v>NA</v>
      </c>
      <c r="V47" s="4" t="str">
        <v>S99MC2292K</v>
      </c>
      <c r="W47" s="4" t="str">
        <v>9 HARRISON ROAD 369651</v>
      </c>
      <c r="X47" s="4" t="str">
        <v>9 HARRISON ROAD HARRISON INDUSTRIAL BUIDLING 369650</v>
      </c>
      <c r="Y47" s="4" t="str">
        <v>NA</v>
      </c>
      <c r="Z47" s="4" t="str">
        <v>No usable phone or email found</v>
      </c>
      <c r="AA47" s="4" t="str">
        <v>No relevant professional relationship established from the property/MCST LinkedIn searches. This does not prove no contact exists.</v>
      </c>
      <c r="AB47" s="4" t="str">
        <v>site:linkedin.com/in "HARRISON INDUSTRIAL BUIDLING" Singapore (manager OR management OR facilities OR "quantity surveyor" OR director)</v>
      </c>
      <c r="AC47" s="4" t="str">
        <v>site:linkedin.com "HARRISON INDUSTRIAL BUIDLING" Singapore</v>
      </c>
      <c r="AD47" s="13" t="n">
        <v>46298</v>
      </c>
      <c r="AE47" s="11" t="str"/>
    </row>
    <row r="48" ht="50" customHeight="1">
      <c r="A48" s="4" t="str">
        <v>4098</v>
      </c>
      <c r="B48" s="4" t="str">
        <v>Kanopy@77</v>
      </c>
      <c r="C48" s="4" t="str"/>
      <c r="D48" s="4" t="str">
        <v>No suitable lead found</v>
      </c>
      <c r="E48" s="4" t="str"/>
      <c r="F48" s="4" t="str"/>
      <c r="G48" s="4" t="str"/>
      <c r="H48" s="4" t="str"/>
      <c r="I48" s="4" t="str"/>
      <c r="J48" s="11" t="str"/>
      <c r="K48" s="4" t="str"/>
      <c r="L48" s="4" t="str"/>
      <c r="M48" s="4" t="str"/>
      <c r="N48" s="4" t="str"/>
      <c r="O48" s="11" t="str"/>
      <c r="P48" s="11" t="str"/>
      <c r="Q48" s="11" t="str"/>
      <c r="R48" s="12" t="n">
        <v>0</v>
      </c>
      <c r="S48" s="4" t="str"/>
      <c r="T48" s="4" t="str">
        <v>No published email found</v>
      </c>
      <c r="U48" s="4" t="str">
        <v>NA</v>
      </c>
      <c r="V48" s="4" t="str">
        <v>T16MC0017F</v>
      </c>
      <c r="W48" s="4" t="str">
        <v>77 LORONG K TELOK KURAU 425699</v>
      </c>
      <c r="X48" s="4" t="str">
        <v>77 LORONG K TELOK KURAU 04-01 425699</v>
      </c>
      <c r="Y48" s="4" t="str">
        <v>NA</v>
      </c>
      <c r="Z48" s="4" t="str">
        <v>No usable phone or email found</v>
      </c>
      <c r="AA48" s="4" t="str">
        <v>No relevant professional relationship established from the property/MCST LinkedIn searches. This does not prove no contact exists.</v>
      </c>
      <c r="AB48" s="4" t="str">
        <v>site:linkedin.com/in "Kanopy@77" Singapore (manager OR management OR facilities OR "quantity surveyor" OR director)</v>
      </c>
      <c r="AC48" s="4" t="str">
        <v>site:linkedin.com "Kanopy@77" Singapore</v>
      </c>
      <c r="AD48" s="13" t="n">
        <v>46298</v>
      </c>
      <c r="AE48" s="11" t="str"/>
    </row>
    <row r="49" ht="50" customHeight="1">
      <c r="A49" s="4" t="str">
        <v>1227</v>
      </c>
      <c r="B49" s="4" t="str">
        <v>KARTAR APARTMENT</v>
      </c>
      <c r="C49" s="4" t="str"/>
      <c r="D49" s="4" t="str">
        <v>No suitable lead found</v>
      </c>
      <c r="E49" s="4" t="str"/>
      <c r="F49" s="4" t="str"/>
      <c r="G49" s="4" t="str"/>
      <c r="H49" s="4" t="str"/>
      <c r="I49" s="4" t="str"/>
      <c r="J49" s="11" t="str"/>
      <c r="K49" s="4" t="str"/>
      <c r="L49" s="4" t="str"/>
      <c r="M49" s="4" t="str"/>
      <c r="N49" s="4" t="str"/>
      <c r="O49" s="11" t="str"/>
      <c r="P49" s="11" t="str"/>
      <c r="Q49" s="11" t="str"/>
      <c r="R49" s="12" t="n">
        <v>0</v>
      </c>
      <c r="S49" s="4" t="str"/>
      <c r="T49" s="4" t="str">
        <v>No published email found</v>
      </c>
      <c r="U49" s="4" t="str">
        <v>NA</v>
      </c>
      <c r="V49" s="4" t="str">
        <v>S87MC1227F</v>
      </c>
      <c r="W49" s="4" t="str">
        <v>43C THOMSON ROAD 307582</v>
      </c>
      <c r="X49" s="4" t="str">
        <v>41 THOMSON ROAD KARTAR APARTMENT 307582</v>
      </c>
      <c r="Y49" s="4" t="str">
        <v>NA</v>
      </c>
      <c r="Z49" s="4" t="str">
        <v>No usable phone or email found</v>
      </c>
      <c r="AA49" s="4" t="str">
        <v>No relevant professional relationship established from the property/MCST LinkedIn searches. This does not prove no contact exists.</v>
      </c>
      <c r="AB49" s="4" t="str">
        <v>site:linkedin.com/in "KARTAR APARTMENT" Singapore (manager OR management OR facilities OR "quantity surveyor" OR director)</v>
      </c>
      <c r="AC49" s="4" t="str">
        <v>site:linkedin.com "KARTAR APARTMENT" Singapore</v>
      </c>
      <c r="AD49" s="13" t="n">
        <v>46298</v>
      </c>
      <c r="AE49" s="11" t="str"/>
    </row>
    <row r="50" ht="50" customHeight="1">
      <c r="A50" s="4" t="str">
        <v>4960</v>
      </c>
      <c r="B50" s="4" t="str">
        <v>LHN FOOD CHAIN</v>
      </c>
      <c r="C50" s="4" t="str"/>
      <c r="D50" s="4" t="str">
        <v>No suitable lead found</v>
      </c>
      <c r="E50" s="4" t="str"/>
      <c r="F50" s="4" t="str"/>
      <c r="G50" s="4" t="str"/>
      <c r="H50" s="4" t="str"/>
      <c r="I50" s="4" t="str"/>
      <c r="J50" s="11" t="str"/>
      <c r="K50" s="4" t="str"/>
      <c r="L50" s="4" t="str"/>
      <c r="M50" s="4" t="str"/>
      <c r="N50" s="4" t="str"/>
      <c r="O50" s="11" t="str"/>
      <c r="P50" s="11" t="str"/>
      <c r="Q50" s="11" t="str"/>
      <c r="R50" s="12" t="n">
        <v>0</v>
      </c>
      <c r="S50" s="4" t="str"/>
      <c r="T50" s="4" t="str">
        <v>No published email found</v>
      </c>
      <c r="U50" s="4" t="str">
        <v>NA</v>
      </c>
      <c r="V50" s="4" t="str">
        <v>T25MC0018L</v>
      </c>
      <c r="W50" s="4" t="str">
        <v>NA</v>
      </c>
      <c r="X50" s="4" t="str">
        <v>75 BEACH ROAD 04-01 189689</v>
      </c>
      <c r="Y50" s="4" t="str">
        <v>NA</v>
      </c>
      <c r="Z50" s="4" t="str">
        <v>No usable phone or email found</v>
      </c>
      <c r="AA50" s="4" t="str">
        <v>LHN company profiles found, but no sufficiently supported individual development or facilities role tied to this property.</v>
      </c>
      <c r="AB50" s="4" t="str">
        <v>site:linkedin.com/in "LHN FOOD CHAIN" Singapore (manager OR management OR facilities OR "quantity surveyor" OR director)</v>
      </c>
      <c r="AC50" s="4" t="str">
        <v>site:linkedin.com "LHN FOOD CHAIN" Singapore</v>
      </c>
      <c r="AD50" s="13" t="n">
        <v>46298</v>
      </c>
      <c r="AE50" s="11" t="str"/>
    </row>
    <row r="51" ht="50" customHeight="1">
      <c r="A51" s="4" t="str">
        <v>4965</v>
      </c>
      <c r="B51" s="4" t="str">
        <v>LIV @ MB</v>
      </c>
      <c r="C51" s="4" t="str"/>
      <c r="D51" s="4" t="str">
        <v>No suitable lead found</v>
      </c>
      <c r="E51" s="4" t="str"/>
      <c r="F51" s="4" t="str"/>
      <c r="G51" s="4" t="str"/>
      <c r="H51" s="4" t="str"/>
      <c r="I51" s="4" t="str"/>
      <c r="J51" s="11" t="str"/>
      <c r="K51" s="4" t="str"/>
      <c r="L51" s="4" t="str"/>
      <c r="M51" s="4" t="str"/>
      <c r="N51" s="4" t="str"/>
      <c r="O51" s="11" t="str"/>
      <c r="P51" s="11" t="str"/>
      <c r="Q51" s="11" t="str"/>
      <c r="R51" s="12" t="n">
        <v>0</v>
      </c>
      <c r="S51" s="4" t="str"/>
      <c r="T51" s="4" t="str">
        <v>No published email found</v>
      </c>
      <c r="U51" s="4" t="str">
        <v>NA</v>
      </c>
      <c r="V51" s="4" t="str">
        <v>T26MC0006H</v>
      </c>
      <c r="W51" s="4" t="str">
        <v>NA</v>
      </c>
      <c r="X51" s="4" t="str">
        <v>2 BUKIT MERAH CENTRAL 13-01 159835</v>
      </c>
      <c r="Y51" s="4" t="str">
        <v>NA</v>
      </c>
      <c r="Z51" s="4" t="str">
        <v>No usable phone or email found</v>
      </c>
      <c r="AA51" s="4" t="str">
        <v>Several candidates merely liked or reshared LIV@MB posts. No supported management or technical assignment established.</v>
      </c>
      <c r="AB51" s="4" t="str">
        <v>site:linkedin.com/in "LIV @ MB" Singapore (manager OR management OR facilities OR "quantity surveyor" OR director)</v>
      </c>
      <c r="AC51" s="4" t="str">
        <v>site:linkedin.com "LIV @ MB" Singapore</v>
      </c>
      <c r="AD51" s="13" t="n">
        <v>46298</v>
      </c>
      <c r="AE51" s="11" t="str"/>
    </row>
    <row r="52" ht="50" customHeight="1">
      <c r="A52" s="4" t="str">
        <v>0105</v>
      </c>
      <c r="B52" s="4" t="str">
        <v>MANAGEMENT CORPN STRATA TITLE PLAN NO. 0105</v>
      </c>
      <c r="C52" s="4" t="str"/>
      <c r="D52" s="4" t="str">
        <v>No suitable lead found</v>
      </c>
      <c r="E52" s="4" t="str"/>
      <c r="F52" s="4" t="str"/>
      <c r="G52" s="4" t="str"/>
      <c r="H52" s="4" t="str"/>
      <c r="I52" s="4" t="str"/>
      <c r="J52" s="11" t="str"/>
      <c r="K52" s="4" t="str"/>
      <c r="L52" s="4" t="str"/>
      <c r="M52" s="4" t="str"/>
      <c r="N52" s="4" t="str"/>
      <c r="O52" s="11" t="str"/>
      <c r="P52" s="11" t="str"/>
      <c r="Q52" s="11" t="str"/>
      <c r="R52" s="12" t="n">
        <v>0</v>
      </c>
      <c r="S52" s="4" t="str"/>
      <c r="T52" s="4" t="str">
        <v>No published email found</v>
      </c>
      <c r="U52" s="4" t="str">
        <v>NA</v>
      </c>
      <c r="V52" s="4" t="str">
        <v>S71MC0105L</v>
      </c>
      <c r="W52" s="4" t="str">
        <v>188-5B TANJONG KATONG ROAD 436990</v>
      </c>
      <c r="X52" s="4" t="str">
        <v>188 TANJONG KATONG ROAD 436990</v>
      </c>
      <c r="Y52" s="4" t="str">
        <v>N</v>
      </c>
      <c r="Z52" s="4" t="str">
        <v>No usable phone or email found</v>
      </c>
      <c r="AA52" s="4" t="str">
        <v>No relevant professional relationship established from the property/MCST LinkedIn searches. This does not prove no contact exists.</v>
      </c>
      <c r="AB52" s="4" t="str">
        <v>site:linkedin.com/in "188-5B TANJONG KATONG ROAD" Singapore (manager OR management OR facilities OR "quantity surveyor" OR director)</v>
      </c>
      <c r="AC52" s="4" t="str">
        <v>site:linkedin.com "188-5B TANJONG KATONG ROAD" Singapore</v>
      </c>
      <c r="AD52" s="13" t="n">
        <v>46298</v>
      </c>
      <c r="AE52" s="11" t="str"/>
    </row>
    <row r="53" ht="50" customHeight="1">
      <c r="A53" s="4" t="str">
        <v>0119</v>
      </c>
      <c r="B53" s="4" t="str">
        <v>MANAGEMENT CORPN STRATA TITLE PLAN NO. 0119</v>
      </c>
      <c r="C53" s="4" t="str"/>
      <c r="D53" s="4" t="str">
        <v>No suitable lead found</v>
      </c>
      <c r="E53" s="4" t="str"/>
      <c r="F53" s="4" t="str"/>
      <c r="G53" s="4" t="str"/>
      <c r="H53" s="4" t="str"/>
      <c r="I53" s="4" t="str"/>
      <c r="J53" s="11" t="str"/>
      <c r="K53" s="4" t="str"/>
      <c r="L53" s="4" t="str"/>
      <c r="M53" s="4" t="str"/>
      <c r="N53" s="4" t="str"/>
      <c r="O53" s="11" t="str"/>
      <c r="P53" s="11" t="str"/>
      <c r="Q53" s="11" t="str"/>
      <c r="R53" s="12" t="n">
        <v>0</v>
      </c>
      <c r="S53" s="4" t="str"/>
      <c r="T53" s="4" t="str">
        <v>No published email found</v>
      </c>
      <c r="U53" s="4" t="str">
        <v>NA</v>
      </c>
      <c r="V53" s="4" t="str">
        <v>S72MC0119E</v>
      </c>
      <c r="W53" s="4" t="str">
        <v>14 HAIG AVENUE 438869</v>
      </c>
      <c r="X53" s="4" t="str">
        <v>14A HAIG AVENUE 438869</v>
      </c>
      <c r="Y53" s="4" t="str">
        <v>MCST</v>
      </c>
      <c r="Z53" s="4" t="str">
        <v>No usable phone or email found</v>
      </c>
      <c r="AA53" s="4" t="str">
        <v>Exact-address wording matched a school outside Singapore; rejected.</v>
      </c>
      <c r="AB53" s="4" t="str">
        <v>site:linkedin.com/in "14 HAIG AVENUE" Singapore (manager OR management OR facilities OR "quantity surveyor" OR director)</v>
      </c>
      <c r="AC53" s="4" t="str">
        <v>site:linkedin.com "14 HAIG AVENUE" Singapore</v>
      </c>
      <c r="AD53" s="13" t="n">
        <v>46298</v>
      </c>
      <c r="AE53" s="11" t="str"/>
    </row>
    <row r="54" ht="50" customHeight="1">
      <c r="A54" s="4" t="str">
        <v>0127</v>
      </c>
      <c r="B54" s="4" t="str">
        <v>MANAGEMENT CORPN STRATA TITLE PLAN NO. 0127</v>
      </c>
      <c r="C54" s="4" t="str"/>
      <c r="D54" s="4" t="str">
        <v>No suitable lead found</v>
      </c>
      <c r="E54" s="4" t="str"/>
      <c r="F54" s="4" t="str"/>
      <c r="G54" s="4" t="str"/>
      <c r="H54" s="4" t="str"/>
      <c r="I54" s="4" t="str"/>
      <c r="J54" s="11" t="str"/>
      <c r="K54" s="4" t="str"/>
      <c r="L54" s="4" t="str"/>
      <c r="M54" s="4" t="str"/>
      <c r="N54" s="4" t="str"/>
      <c r="O54" s="11" t="str"/>
      <c r="P54" s="11" t="str"/>
      <c r="Q54" s="11" t="str"/>
      <c r="R54" s="12" t="n">
        <v>0</v>
      </c>
      <c r="S54" s="4" t="str"/>
      <c r="T54" s="4" t="str">
        <v>No published email found</v>
      </c>
      <c r="U54" s="4" t="str">
        <v>NA</v>
      </c>
      <c r="V54" s="4" t="str">
        <v>S72MC0127G</v>
      </c>
      <c r="W54" s="4" t="str">
        <v>33 LORONG 17 GEYLANG 388557</v>
      </c>
      <c r="X54" s="4" t="str">
        <v>33B LORONG 17 GEYLANG 388557</v>
      </c>
      <c r="Y54" s="4" t="str">
        <v>NA</v>
      </c>
      <c r="Z54" s="4" t="str">
        <v>No usable phone or email found</v>
      </c>
      <c r="AA54" s="4" t="str">
        <v>No relevant professional relationship established from the property/MCST LinkedIn searches. This does not prove no contact exists.</v>
      </c>
      <c r="AB54" s="4" t="str">
        <v>site:linkedin.com/in "33 LORONG 17 GEYLANG" Singapore (manager OR management OR facilities OR "quantity surveyor" OR director)</v>
      </c>
      <c r="AC54" s="4" t="str">
        <v>site:linkedin.com "33 LORONG 17 GEYLANG" Singapore</v>
      </c>
      <c r="AD54" s="13" t="n">
        <v>46298</v>
      </c>
      <c r="AE54" s="11" t="str"/>
    </row>
    <row r="55" ht="50" customHeight="1">
      <c r="A55" s="4" t="str">
        <v>0140</v>
      </c>
      <c r="B55" s="4" t="str">
        <v>MANAGEMENT CORPN STRATA TITLE PLAN NO. 0140</v>
      </c>
      <c r="C55" s="4" t="str"/>
      <c r="D55" s="4" t="str">
        <v>No suitable lead found</v>
      </c>
      <c r="E55" s="4" t="str"/>
      <c r="F55" s="4" t="str"/>
      <c r="G55" s="4" t="str"/>
      <c r="H55" s="4" t="str"/>
      <c r="I55" s="4" t="str"/>
      <c r="J55" s="11" t="str"/>
      <c r="K55" s="4" t="str"/>
      <c r="L55" s="4" t="str"/>
      <c r="M55" s="4" t="str"/>
      <c r="N55" s="4" t="str"/>
      <c r="O55" s="11" t="str"/>
      <c r="P55" s="11" t="str"/>
      <c r="Q55" s="11" t="str"/>
      <c r="R55" s="12" t="n">
        <v>0</v>
      </c>
      <c r="S55" s="4" t="str"/>
      <c r="T55" s="4" t="str">
        <v>No published email found</v>
      </c>
      <c r="U55" s="4" t="str">
        <v>NA</v>
      </c>
      <c r="V55" s="4" t="str">
        <v>S72MC0140A</v>
      </c>
      <c r="W55" s="4" t="str">
        <v>465E JOO CHIAT ROAD 427678</v>
      </c>
      <c r="X55" s="4" t="str">
        <v>465D JOO CHIAT ROAD 427678</v>
      </c>
      <c r="Y55" s="4" t="str">
        <v>MCST</v>
      </c>
      <c r="Z55" s="4" t="str">
        <v>No usable phone or email found</v>
      </c>
      <c r="AA55" s="4" t="str">
        <v>No relevant professional relationship established from the property/MCST LinkedIn searches. This does not prove no contact exists.</v>
      </c>
      <c r="AB55" s="4" t="str">
        <v>site:linkedin.com/in "465E JOO CHIAT ROAD" Singapore (manager OR management OR facilities OR "quantity surveyor" OR director)</v>
      </c>
      <c r="AC55" s="4" t="str">
        <v>site:linkedin.com "465E JOO CHIAT ROAD" Singapore</v>
      </c>
      <c r="AD55" s="13" t="n">
        <v>46298</v>
      </c>
      <c r="AE55" s="11" t="str"/>
    </row>
    <row r="56" ht="50" customHeight="1">
      <c r="A56" s="4" t="str">
        <v>0141</v>
      </c>
      <c r="B56" s="4" t="str">
        <v>MANAGEMENT CORPN STRATA TITLE PLAN NO. 0141</v>
      </c>
      <c r="C56" s="4" t="str"/>
      <c r="D56" s="4" t="str">
        <v>No suitable lead found</v>
      </c>
      <c r="E56" s="4" t="str"/>
      <c r="F56" s="4" t="str"/>
      <c r="G56" s="4" t="str"/>
      <c r="H56" s="4" t="str"/>
      <c r="I56" s="4" t="str"/>
      <c r="J56" s="11" t="str"/>
      <c r="K56" s="4" t="str"/>
      <c r="L56" s="4" t="str"/>
      <c r="M56" s="4" t="str"/>
      <c r="N56" s="4" t="str"/>
      <c r="O56" s="11" t="str"/>
      <c r="P56" s="11" t="str"/>
      <c r="Q56" s="11" t="str"/>
      <c r="R56" s="12" t="n">
        <v>0</v>
      </c>
      <c r="S56" s="4" t="str"/>
      <c r="T56" s="4" t="str">
        <v>No published email found</v>
      </c>
      <c r="U56" s="4" t="str">
        <v>NA</v>
      </c>
      <c r="V56" s="4" t="str">
        <v>S72MC0141H</v>
      </c>
      <c r="W56" s="4" t="str">
        <v>467 JOO CHIAT ROAD 427678</v>
      </c>
      <c r="X56" s="4" t="str">
        <v>51 TANJONG KATONG ROAD 437035</v>
      </c>
      <c r="Y56" s="4" t="str">
        <v>MCST</v>
      </c>
      <c r="Z56" s="4" t="str">
        <v>No usable phone or email found</v>
      </c>
      <c r="AA56" s="4" t="str">
        <v>An exact-address profile was associated with a tenant/business. No management relationship established.</v>
      </c>
      <c r="AB56" s="4" t="str">
        <v>site:linkedin.com/in "467 JOO CHIAT ROAD" Singapore (manager OR management OR facilities OR "quantity surveyor" OR director)</v>
      </c>
      <c r="AC56" s="4" t="str">
        <v>site:linkedin.com "467 JOO CHIAT ROAD" Singapore</v>
      </c>
      <c r="AD56" s="13" t="n">
        <v>46298</v>
      </c>
      <c r="AE56" s="11" t="str"/>
    </row>
    <row r="57" ht="50" customHeight="1">
      <c r="A57" s="4" t="str">
        <v>0109</v>
      </c>
      <c r="B57" s="4" t="str">
        <v>MANAGEMENT CORPN STRATA TITLE PLAN NO. 109</v>
      </c>
      <c r="C57" s="4" t="str"/>
      <c r="D57" s="4" t="str">
        <v>No suitable lead found</v>
      </c>
      <c r="E57" s="4" t="str"/>
      <c r="F57" s="4" t="str"/>
      <c r="G57" s="4" t="str"/>
      <c r="H57" s="4" t="str"/>
      <c r="I57" s="4" t="str"/>
      <c r="J57" s="11" t="str"/>
      <c r="K57" s="4" t="str"/>
      <c r="L57" s="4" t="str"/>
      <c r="M57" s="4" t="str"/>
      <c r="N57" s="4" t="str"/>
      <c r="O57" s="11" t="str"/>
      <c r="P57" s="11" t="str"/>
      <c r="Q57" s="11" t="str"/>
      <c r="R57" s="12" t="n">
        <v>0</v>
      </c>
      <c r="S57" s="4" t="str"/>
      <c r="T57" s="4" t="str">
        <v>No published email found</v>
      </c>
      <c r="U57" s="4" t="str">
        <v>NA</v>
      </c>
      <c r="V57" s="4" t="str">
        <v>S71MC0109F</v>
      </c>
      <c r="W57" s="4" t="str">
        <v>188-9B TANJONG KATONG ROAD 436990</v>
      </c>
      <c r="X57" s="4" t="str">
        <v>188-9B UPPER CROSS STREET 8-13 PEOPLE'S PARK CENTRE 58358</v>
      </c>
      <c r="Y57" s="4" t="str">
        <v>N</v>
      </c>
      <c r="Z57" s="4" t="str">
        <v>No usable phone or email found</v>
      </c>
      <c r="AA57" s="4" t="str">
        <v>No relevant professional relationship established from the property/MCST LinkedIn searches. This does not prove no contact exists.</v>
      </c>
      <c r="AB57" s="4" t="str">
        <v>site:linkedin.com/in "188-9B TANJONG KATONG ROAD" Singapore (manager OR management OR facilities OR "quantity surveyor" OR director)</v>
      </c>
      <c r="AC57" s="4" t="str">
        <v>site:linkedin.com "188-9B TANJONG KATONG ROAD" Singapore</v>
      </c>
      <c r="AD57" s="13" t="n">
        <v>46298</v>
      </c>
      <c r="AE57" s="11" t="str"/>
    </row>
    <row r="58" ht="50" customHeight="1">
      <c r="A58" s="4" t="str">
        <v>2899</v>
      </c>
      <c r="B58" s="4" t="str">
        <v>Management Corporation Strata Title No. 2899</v>
      </c>
      <c r="C58" s="4" t="str"/>
      <c r="D58" s="4" t="str">
        <v>No suitable lead found</v>
      </c>
      <c r="E58" s="4" t="str"/>
      <c r="F58" s="4" t="str"/>
      <c r="G58" s="4" t="str"/>
      <c r="H58" s="4" t="str"/>
      <c r="I58" s="4" t="str"/>
      <c r="J58" s="11" t="str"/>
      <c r="K58" s="4" t="str"/>
      <c r="L58" s="4" t="str"/>
      <c r="M58" s="4" t="str"/>
      <c r="N58" s="4" t="str"/>
      <c r="O58" s="11" t="str"/>
      <c r="P58" s="11" t="str"/>
      <c r="Q58" s="11" t="str"/>
      <c r="R58" s="12" t="n">
        <v>0</v>
      </c>
      <c r="S58" s="4" t="str"/>
      <c r="T58" s="4" t="str">
        <v>No published email found</v>
      </c>
      <c r="U58" s="4" t="str">
        <v>NA</v>
      </c>
      <c r="V58" s="4" t="str">
        <v>T04MC2899A</v>
      </c>
      <c r="W58" s="4" t="str">
        <v>395B GUILLEMARD ROAD 399791</v>
      </c>
      <c r="X58" s="4" t="str">
        <v>554 CHANGI ROAD 419934</v>
      </c>
      <c r="Y58" s="4" t="str">
        <v>NA</v>
      </c>
      <c r="Z58" s="4" t="str">
        <v>No usable phone or email found</v>
      </c>
      <c r="AA58" s="4" t="str">
        <v>No relevant professional relationship established from the property/MCST LinkedIn searches. This does not prove no contact exists.</v>
      </c>
      <c r="AB58" s="4" t="str">
        <v>site:linkedin.com/in "395B GUILLEMARD ROAD" Singapore (manager OR management OR facilities OR "quantity surveyor" OR director)</v>
      </c>
      <c r="AC58" s="4" t="str">
        <v>site:linkedin.com "395B GUILLEMARD ROAD" Singapore</v>
      </c>
      <c r="AD58" s="13" t="n">
        <v>46298</v>
      </c>
      <c r="AE58" s="11" t="str"/>
    </row>
    <row r="59" ht="50" customHeight="1">
      <c r="A59" s="4" t="str">
        <v>2971</v>
      </c>
      <c r="B59" s="4" t="str">
        <v>Management Corporation Strata Title No. 2971</v>
      </c>
      <c r="C59" s="4" t="str"/>
      <c r="D59" s="4" t="str">
        <v>No suitable lead found</v>
      </c>
      <c r="E59" s="4" t="str"/>
      <c r="F59" s="4" t="str"/>
      <c r="G59" s="4" t="str"/>
      <c r="H59" s="4" t="str"/>
      <c r="I59" s="4" t="str"/>
      <c r="J59" s="11" t="str"/>
      <c r="K59" s="4" t="str"/>
      <c r="L59" s="4" t="str"/>
      <c r="M59" s="4" t="str"/>
      <c r="N59" s="4" t="str"/>
      <c r="O59" s="11" t="str"/>
      <c r="P59" s="11" t="str"/>
      <c r="Q59" s="11" t="str"/>
      <c r="R59" s="12" t="n">
        <v>0</v>
      </c>
      <c r="S59" s="4" t="str"/>
      <c r="T59" s="4" t="str">
        <v>No published email found</v>
      </c>
      <c r="U59" s="4" t="str">
        <v>NA</v>
      </c>
      <c r="V59" s="4" t="str">
        <v>T05MC2971H</v>
      </c>
      <c r="W59" s="4" t="str">
        <v>62 WILKIE ROAD 228066</v>
      </c>
      <c r="X59" s="4" t="str">
        <v>62 WILKIE ROAD 01-01 228066</v>
      </c>
      <c r="Y59" s="4" t="str">
        <v>NA</v>
      </c>
      <c r="Z59" s="4" t="str">
        <v>No usable phone or email found</v>
      </c>
      <c r="AA59" s="4" t="str">
        <v>No relevant professional relationship established from the property/MCST LinkedIn searches. This does not prove no contact exists.</v>
      </c>
      <c r="AB59" s="4" t="str">
        <v>site:linkedin.com/in "62 WILKIE ROAD" Singapore (manager OR management OR facilities OR "quantity surveyor" OR director)</v>
      </c>
      <c r="AC59" s="4" t="str">
        <v>site:linkedin.com "62 WILKIE ROAD" Singapore</v>
      </c>
      <c r="AD59" s="13" t="n">
        <v>46298</v>
      </c>
      <c r="AE59" s="11" t="str"/>
    </row>
    <row r="60" ht="50" customHeight="1">
      <c r="A60" s="4" t="str">
        <v>3242</v>
      </c>
      <c r="B60" s="4" t="str">
        <v>Management Corporation Strata Title No. 3242</v>
      </c>
      <c r="C60" s="4" t="str"/>
      <c r="D60" s="4" t="str">
        <v>No suitable lead found</v>
      </c>
      <c r="E60" s="4" t="str"/>
      <c r="F60" s="4" t="str"/>
      <c r="G60" s="4" t="str"/>
      <c r="H60" s="4" t="str"/>
      <c r="I60" s="4" t="str"/>
      <c r="J60" s="11" t="str"/>
      <c r="K60" s="4" t="str"/>
      <c r="L60" s="4" t="str"/>
      <c r="M60" s="4" t="str"/>
      <c r="N60" s="4" t="str"/>
      <c r="O60" s="11" t="str"/>
      <c r="P60" s="11" t="str"/>
      <c r="Q60" s="11" t="str"/>
      <c r="R60" s="12" t="n">
        <v>0</v>
      </c>
      <c r="S60" s="4" t="str"/>
      <c r="T60" s="4" t="str">
        <v>No published email found</v>
      </c>
      <c r="U60" s="4" t="str">
        <v>NA</v>
      </c>
      <c r="V60" s="4" t="str">
        <v>T08MC3242C</v>
      </c>
      <c r="W60" s="4" t="str">
        <v>NA</v>
      </c>
      <c r="X60" s="4" t="str">
        <v>865 MOUNTBATTEN ROAD 05-23 KATONG SHOPPING CENTRE 437844</v>
      </c>
      <c r="Y60" s="4" t="str">
        <v>NA</v>
      </c>
      <c r="Z60" s="4" t="str">
        <v>No usable phone or email found</v>
      </c>
      <c r="AA60" s="4" t="str">
        <v>No relevant professional relationship established from the property/MCST LinkedIn searches. This does not prove no contact exists.</v>
      </c>
      <c r="AB60" s="4" t="str">
        <v>site:linkedin.com/in "MCST 3242" Singapore (manager OR management OR facilities OR "quantity surveyor" OR director)</v>
      </c>
      <c r="AC60" s="4" t="str">
        <v>site:linkedin.com "MCST 3242" Singapore</v>
      </c>
      <c r="AD60" s="13" t="n">
        <v>46298</v>
      </c>
      <c r="AE60" s="11" t="str"/>
    </row>
    <row r="61" ht="50" customHeight="1">
      <c r="A61" s="4" t="str">
        <v>0031</v>
      </c>
      <c r="B61" s="4" t="str">
        <v>MANAGEMENT CORPORATION STRATA TITLE PLAN NO. 0031</v>
      </c>
      <c r="C61" s="4" t="str"/>
      <c r="D61" s="4" t="str">
        <v>No suitable lead found</v>
      </c>
      <c r="E61" s="4" t="str"/>
      <c r="F61" s="4" t="str"/>
      <c r="G61" s="4" t="str"/>
      <c r="H61" s="4" t="str"/>
      <c r="I61" s="4" t="str"/>
      <c r="J61" s="11" t="str"/>
      <c r="K61" s="4" t="str"/>
      <c r="L61" s="4" t="str"/>
      <c r="M61" s="4" t="str"/>
      <c r="N61" s="4" t="str"/>
      <c r="O61" s="11" t="str"/>
      <c r="P61" s="11" t="str"/>
      <c r="Q61" s="11" t="str"/>
      <c r="R61" s="12" t="n">
        <v>0</v>
      </c>
      <c r="S61" s="4" t="str"/>
      <c r="T61" s="4" t="str">
        <v>No published email found</v>
      </c>
      <c r="U61" s="4" t="str">
        <v>NA</v>
      </c>
      <c r="V61" s="4" t="str">
        <v>S69MC0031L</v>
      </c>
      <c r="W61" s="4" t="str">
        <v>20B FLANDERS SQUARE 208305</v>
      </c>
      <c r="X61" s="4" t="str">
        <v>40L HERTFORD ROAD 219392</v>
      </c>
      <c r="Y61" s="4" t="str">
        <v>NIL</v>
      </c>
      <c r="Z61" s="4" t="str">
        <v>No usable phone or email found</v>
      </c>
      <c r="AA61" s="4" t="str">
        <v>No relevant professional relationship established from the property/MCST LinkedIn searches. This does not prove no contact exists.</v>
      </c>
      <c r="AB61" s="4" t="str">
        <v>site:linkedin.com/in "20B FLANDERS SQUARE" Singapore (manager OR management OR facilities OR "quantity surveyor" OR director)</v>
      </c>
      <c r="AC61" s="4" t="str">
        <v>site:linkedin.com "20B FLANDERS SQUARE" Singapore</v>
      </c>
      <c r="AD61" s="13" t="n">
        <v>46298</v>
      </c>
      <c r="AE61" s="11" t="str"/>
    </row>
    <row r="62" ht="50" customHeight="1">
      <c r="A62" s="4" t="str">
        <v>0039</v>
      </c>
      <c r="B62" s="4" t="str">
        <v>MANAGEMENT CORPORATION STRATA TITLE PLAN NO. 0039</v>
      </c>
      <c r="C62" s="4" t="str"/>
      <c r="D62" s="4" t="str">
        <v>No suitable lead found</v>
      </c>
      <c r="E62" s="4" t="str"/>
      <c r="F62" s="4" t="str"/>
      <c r="G62" s="4" t="str"/>
      <c r="H62" s="4" t="str"/>
      <c r="I62" s="4" t="str"/>
      <c r="J62" s="11" t="str"/>
      <c r="K62" s="4" t="str"/>
      <c r="L62" s="4" t="str"/>
      <c r="M62" s="4" t="str"/>
      <c r="N62" s="4" t="str"/>
      <c r="O62" s="11" t="str"/>
      <c r="P62" s="11" t="str"/>
      <c r="Q62" s="11" t="str"/>
      <c r="R62" s="12" t="n">
        <v>0</v>
      </c>
      <c r="S62" s="4" t="str"/>
      <c r="T62" s="4" t="str">
        <v>No published email found</v>
      </c>
      <c r="U62" s="4" t="str">
        <v>NA</v>
      </c>
      <c r="V62" s="4" t="str">
        <v>S69MC0039A</v>
      </c>
      <c r="W62" s="4" t="str">
        <v>4 FLANDERS SQUARE 209296</v>
      </c>
      <c r="X62" s="4" t="str">
        <v>4 FLANDERS SQUARE 209296</v>
      </c>
      <c r="Y62" s="4" t="str">
        <v>NIL</v>
      </c>
      <c r="Z62" s="4" t="str">
        <v>No usable phone or email found</v>
      </c>
      <c r="AA62" s="4" t="str">
        <v>No relevant professional relationship established from the property/MCST LinkedIn searches. This does not prove no contact exists.</v>
      </c>
      <c r="AB62" s="4" t="str">
        <v>site:linkedin.com/in "4 FLANDERS SQUARE" Singapore (manager OR management OR facilities OR "quantity surveyor" OR director)</v>
      </c>
      <c r="AC62" s="4" t="str">
        <v>site:linkedin.com "4 FLANDERS SQUARE" Singapore</v>
      </c>
      <c r="AD62" s="13" t="n">
        <v>46298</v>
      </c>
      <c r="AE62" s="11" t="str"/>
    </row>
    <row r="63" ht="50" customHeight="1">
      <c r="A63" s="4" t="str">
        <v>0040</v>
      </c>
      <c r="B63" s="4" t="str">
        <v>MANAGEMENT CORPORATION STRATA TITLE PLAN NO. 0040</v>
      </c>
      <c r="C63" s="4" t="str"/>
      <c r="D63" s="4" t="str">
        <v>No suitable lead found</v>
      </c>
      <c r="E63" s="4" t="str"/>
      <c r="F63" s="4" t="str"/>
      <c r="G63" s="4" t="str"/>
      <c r="H63" s="4" t="str"/>
      <c r="I63" s="4" t="str"/>
      <c r="J63" s="11" t="str"/>
      <c r="K63" s="4" t="str"/>
      <c r="L63" s="4" t="str"/>
      <c r="M63" s="4" t="str"/>
      <c r="N63" s="4" t="str"/>
      <c r="O63" s="11" t="str"/>
      <c r="P63" s="11" t="str"/>
      <c r="Q63" s="11" t="str"/>
      <c r="R63" s="12" t="n">
        <v>0</v>
      </c>
      <c r="S63" s="4" t="str"/>
      <c r="T63" s="4" t="str">
        <v>No published email found</v>
      </c>
      <c r="U63" s="4" t="str">
        <v>NA</v>
      </c>
      <c r="V63" s="4" t="str">
        <v>S69MC0040J</v>
      </c>
      <c r="W63" s="4" t="str">
        <v>2 FLANDERS SQUARE 209295</v>
      </c>
      <c r="X63" s="4" t="str">
        <v>2 FLANDERS SQUARE 209295</v>
      </c>
      <c r="Y63" s="4" t="str">
        <v>NIL</v>
      </c>
      <c r="Z63" s="4" t="str">
        <v>No usable phone or email found</v>
      </c>
      <c r="AA63" s="4" t="str">
        <v>No relevant professional relationship established from the property/MCST LinkedIn searches. This does not prove no contact exists.</v>
      </c>
      <c r="AB63" s="4" t="str">
        <v>site:linkedin.com/in "2 FLANDERS SQUARE" Singapore (manager OR management OR facilities OR "quantity surveyor" OR director)</v>
      </c>
      <c r="AC63" s="4" t="str">
        <v>site:linkedin.com "2 FLANDERS SQUARE" Singapore</v>
      </c>
      <c r="AD63" s="13" t="n">
        <v>46298</v>
      </c>
      <c r="AE63" s="11" t="str"/>
    </row>
    <row r="64" ht="50" customHeight="1">
      <c r="A64" s="4" t="str">
        <v>0049</v>
      </c>
      <c r="B64" s="4" t="str">
        <v>MANAGEMENT CORPORATION STRATA TITLE PLAN NO. 0049</v>
      </c>
      <c r="C64" s="4" t="str"/>
      <c r="D64" s="4" t="str">
        <v>No suitable lead found</v>
      </c>
      <c r="E64" s="4" t="str"/>
      <c r="F64" s="4" t="str"/>
      <c r="G64" s="4" t="str"/>
      <c r="H64" s="4" t="str"/>
      <c r="I64" s="4" t="str"/>
      <c r="J64" s="11" t="str"/>
      <c r="K64" s="4" t="str"/>
      <c r="L64" s="4" t="str"/>
      <c r="M64" s="4" t="str"/>
      <c r="N64" s="4" t="str"/>
      <c r="O64" s="11" t="str"/>
      <c r="P64" s="11" t="str"/>
      <c r="Q64" s="11" t="str"/>
      <c r="R64" s="12" t="n">
        <v>0</v>
      </c>
      <c r="S64" s="4" t="str"/>
      <c r="T64" s="4" t="str">
        <v>No published email found</v>
      </c>
      <c r="U64" s="4" t="str">
        <v>NA</v>
      </c>
      <c r="V64" s="4" t="str">
        <v>S70MC0049H</v>
      </c>
      <c r="W64" s="4" t="str">
        <v>3E LORONG 12 GEYLANG 398984</v>
      </c>
      <c r="X64" s="4" t="str">
        <v>12 LORONG 12 GEYLANG 398984</v>
      </c>
      <c r="Y64" s="4" t="str">
        <v>NIL</v>
      </c>
      <c r="Z64" s="4" t="str">
        <v>No usable phone or email found</v>
      </c>
      <c r="AA64" s="4" t="str">
        <v>No relevant professional relationship established from the property/MCST LinkedIn searches. This does not prove no contact exists.</v>
      </c>
      <c r="AB64" s="4" t="str">
        <v>site:linkedin.com/in "3E LORONG 12 GEYLANG" Singapore (manager OR management OR facilities OR "quantity surveyor" OR director)</v>
      </c>
      <c r="AC64" s="4" t="str">
        <v>site:linkedin.com "3E LORONG 12 GEYLANG" Singapore</v>
      </c>
      <c r="AD64" s="13" t="n">
        <v>46298</v>
      </c>
      <c r="AE64" s="11" t="str"/>
    </row>
    <row r="65" ht="50" customHeight="1">
      <c r="A65" s="4" t="str">
        <v>0050</v>
      </c>
      <c r="B65" s="4" t="str">
        <v>MANAGEMENT CORPORATION STRATA TITLE PLAN NO. 0050</v>
      </c>
      <c r="C65" s="4" t="str"/>
      <c r="D65" s="4" t="str">
        <v>No suitable lead found</v>
      </c>
      <c r="E65" s="4" t="str"/>
      <c r="F65" s="4" t="str"/>
      <c r="G65" s="4" t="str"/>
      <c r="H65" s="4" t="str"/>
      <c r="I65" s="4" t="str"/>
      <c r="J65" s="11" t="str"/>
      <c r="K65" s="4" t="str"/>
      <c r="L65" s="4" t="str"/>
      <c r="M65" s="4" t="str"/>
      <c r="N65" s="4" t="str"/>
      <c r="O65" s="11" t="str"/>
      <c r="P65" s="11" t="str"/>
      <c r="Q65" s="11" t="str"/>
      <c r="R65" s="12" t="n">
        <v>0</v>
      </c>
      <c r="S65" s="4" t="str"/>
      <c r="T65" s="4" t="str">
        <v>No published email found</v>
      </c>
      <c r="U65" s="4" t="str">
        <v>NA</v>
      </c>
      <c r="V65" s="4" t="str">
        <v>S70MC0050E</v>
      </c>
      <c r="W65" s="4" t="str">
        <v>3H LORONG 12 GEYLANG 398984</v>
      </c>
      <c r="X65" s="4" t="str">
        <v>3C LORONG 12 GEYLANG 398984</v>
      </c>
      <c r="Y65" s="4" t="str">
        <v>NIL</v>
      </c>
      <c r="Z65" s="4" t="str">
        <v>No usable phone or email found</v>
      </c>
      <c r="AA65" s="4" t="str">
        <v>No relevant professional relationship established from the property/MCST LinkedIn searches. This does not prove no contact exists.</v>
      </c>
      <c r="AB65" s="4" t="str">
        <v>site:linkedin.com/in "3H LORONG 12 GEYLANG" Singapore (manager OR management OR facilities OR "quantity surveyor" OR director)</v>
      </c>
      <c r="AC65" s="4" t="str">
        <v>site:linkedin.com "3H LORONG 12 GEYLANG" Singapore</v>
      </c>
      <c r="AD65" s="13" t="n">
        <v>46298</v>
      </c>
      <c r="AE65" s="11" t="str"/>
    </row>
    <row r="66" ht="50" customHeight="1">
      <c r="A66" s="4" t="str">
        <v>0069</v>
      </c>
      <c r="B66" s="4" t="str">
        <v>MANAGEMENT CORPORATION STRATA TITLE PLAN NO. 0069</v>
      </c>
      <c r="C66" s="4" t="str"/>
      <c r="D66" s="4" t="str">
        <v>No suitable lead found</v>
      </c>
      <c r="E66" s="4" t="str"/>
      <c r="F66" s="4" t="str"/>
      <c r="G66" s="4" t="str"/>
      <c r="H66" s="4" t="str"/>
      <c r="I66" s="4" t="str"/>
      <c r="J66" s="11" t="str"/>
      <c r="K66" s="4" t="str"/>
      <c r="L66" s="4" t="str"/>
      <c r="M66" s="4" t="str"/>
      <c r="N66" s="4" t="str"/>
      <c r="O66" s="11" t="str"/>
      <c r="P66" s="11" t="str"/>
      <c r="Q66" s="11" t="str"/>
      <c r="R66" s="12" t="n">
        <v>0</v>
      </c>
      <c r="S66" s="4" t="str"/>
      <c r="T66" s="4" t="str">
        <v>No published email found</v>
      </c>
      <c r="U66" s="4" t="str">
        <v>NA</v>
      </c>
      <c r="V66" s="4" t="str">
        <v>S70MC0069G</v>
      </c>
      <c r="W66" s="4" t="str">
        <v>77 JALAN WANGI 349388</v>
      </c>
      <c r="X66" s="4" t="str">
        <v>77 JALAN WANGI 349388</v>
      </c>
      <c r="Y66" s="4" t="str">
        <v>MCST</v>
      </c>
      <c r="Z66" s="4" t="str">
        <v>No usable phone or email found</v>
      </c>
      <c r="AA66" s="4" t="str">
        <v>No relevant professional relationship established from the property/MCST LinkedIn searches. This does not prove no contact exists.</v>
      </c>
      <c r="AB66" s="4" t="str">
        <v>site:linkedin.com/in "77 JALAN WANGI" Singapore (manager OR management OR facilities OR "quantity surveyor" OR director)</v>
      </c>
      <c r="AC66" s="4" t="str">
        <v>site:linkedin.com "77 JALAN WANGI" Singapore</v>
      </c>
      <c r="AD66" s="13" t="n">
        <v>46298</v>
      </c>
      <c r="AE66" s="11" t="str"/>
    </row>
    <row r="67" ht="50" customHeight="1">
      <c r="A67" s="4" t="str">
        <v>0102</v>
      </c>
      <c r="B67" s="4" t="str">
        <v>MANAGEMENT CORPORATION STRATA TITLE PLAN NO. 0102</v>
      </c>
      <c r="C67" s="4" t="str"/>
      <c r="D67" s="4" t="str">
        <v>No suitable lead found</v>
      </c>
      <c r="E67" s="4" t="str"/>
      <c r="F67" s="4" t="str"/>
      <c r="G67" s="4" t="str"/>
      <c r="H67" s="4" t="str"/>
      <c r="I67" s="4" t="str"/>
      <c r="J67" s="11" t="str"/>
      <c r="K67" s="4" t="str"/>
      <c r="L67" s="4" t="str"/>
      <c r="M67" s="4" t="str"/>
      <c r="N67" s="4" t="str"/>
      <c r="O67" s="11" t="str"/>
      <c r="P67" s="11" t="str"/>
      <c r="Q67" s="11" t="str"/>
      <c r="R67" s="12" t="n">
        <v>0</v>
      </c>
      <c r="S67" s="4" t="str"/>
      <c r="T67" s="4" t="str">
        <v>No published email found</v>
      </c>
      <c r="U67" s="4" t="str">
        <v>NA</v>
      </c>
      <c r="V67" s="4" t="str">
        <v>S71MC0102A</v>
      </c>
      <c r="W67" s="4" t="str">
        <v>188-2B TANJONG KATONG ROAD 436990</v>
      </c>
      <c r="X67" s="4" t="str">
        <v>188-2B TANJONG KATONG ROAD 436990</v>
      </c>
      <c r="Y67" s="4" t="str">
        <v>MCST</v>
      </c>
      <c r="Z67" s="4" t="str">
        <v>No usable phone or email found</v>
      </c>
      <c r="AA67" s="4" t="str">
        <v>No relevant professional relationship established from the property/MCST LinkedIn searches. This does not prove no contact exists.</v>
      </c>
      <c r="AB67" s="4" t="str">
        <v>site:linkedin.com/in "188-2B TANJONG KATONG ROAD" Singapore (manager OR management OR facilities OR "quantity surveyor" OR director)</v>
      </c>
      <c r="AC67" s="4" t="str">
        <v>site:linkedin.com "188-2B TANJONG KATONG ROAD" Singapore</v>
      </c>
      <c r="AD67" s="13" t="n">
        <v>46298</v>
      </c>
      <c r="AE67" s="11" t="str"/>
    </row>
    <row r="68" ht="50" customHeight="1">
      <c r="A68" s="4" t="str">
        <v>0237</v>
      </c>
      <c r="B68" s="4" t="str">
        <v>MANAGEMENT CORPORATION STRATA TITLE PLAN NO. 0237</v>
      </c>
      <c r="C68" s="4" t="str"/>
      <c r="D68" s="4" t="str">
        <v>No suitable lead found</v>
      </c>
      <c r="E68" s="4" t="str"/>
      <c r="F68" s="4" t="str"/>
      <c r="G68" s="4" t="str"/>
      <c r="H68" s="4" t="str"/>
      <c r="I68" s="4" t="str"/>
      <c r="J68" s="11" t="str"/>
      <c r="K68" s="4" t="str"/>
      <c r="L68" s="4" t="str"/>
      <c r="M68" s="4" t="str"/>
      <c r="N68" s="4" t="str"/>
      <c r="O68" s="11" t="str"/>
      <c r="P68" s="11" t="str"/>
      <c r="Q68" s="11" t="str"/>
      <c r="R68" s="12" t="n">
        <v>0</v>
      </c>
      <c r="S68" s="4" t="str"/>
      <c r="T68" s="4" t="str">
        <v>No published email found</v>
      </c>
      <c r="U68" s="4" t="str">
        <v>NA</v>
      </c>
      <c r="V68" s="4" t="str">
        <v>S74MC0237B</v>
      </c>
      <c r="W68" s="4" t="str">
        <v>21 OPAL CRESCENT 328416</v>
      </c>
      <c r="X68" s="4" t="str">
        <v>32 SUNGEI KADUT WAY HUA KOK INDUSTRIAL BUILDING 728787</v>
      </c>
      <c r="Y68" s="4" t="str">
        <v>NIL</v>
      </c>
      <c r="Z68" s="4" t="str">
        <v>No usable phone or email found</v>
      </c>
      <c r="AA68" s="4" t="str">
        <v>No relevant professional relationship established from the property/MCST LinkedIn searches. This does not prove no contact exists.</v>
      </c>
      <c r="AB68" s="4" t="str">
        <v>site:linkedin.com/in "21 OPAL CRESCENT" Singapore (manager OR management OR facilities OR "quantity surveyor" OR director)</v>
      </c>
      <c r="AC68" s="4" t="str">
        <v>site:linkedin.com "21 OPAL CRESCENT" Singapore</v>
      </c>
      <c r="AD68" s="13" t="n">
        <v>46298</v>
      </c>
      <c r="AE68" s="11" t="str"/>
    </row>
    <row r="69" ht="50" customHeight="1">
      <c r="A69" s="4" t="str">
        <v>0240</v>
      </c>
      <c r="B69" s="4" t="str">
        <v>MANAGEMENT CORPORATION STRATA TITLE PLAN NO. 0240</v>
      </c>
      <c r="C69" s="4" t="str"/>
      <c r="D69" s="4" t="str">
        <v>No suitable lead found</v>
      </c>
      <c r="E69" s="4" t="str"/>
      <c r="F69" s="4" t="str"/>
      <c r="G69" s="4" t="str"/>
      <c r="H69" s="4" t="str"/>
      <c r="I69" s="4" t="str"/>
      <c r="J69" s="11" t="str"/>
      <c r="K69" s="4" t="str"/>
      <c r="L69" s="4" t="str"/>
      <c r="M69" s="4" t="str"/>
      <c r="N69" s="4" t="str"/>
      <c r="O69" s="11" t="str"/>
      <c r="P69" s="11" t="str"/>
      <c r="Q69" s="11" t="str"/>
      <c r="R69" s="12" t="n">
        <v>0</v>
      </c>
      <c r="S69" s="4" t="str"/>
      <c r="T69" s="4" t="str">
        <v>No published email found</v>
      </c>
      <c r="U69" s="4" t="str">
        <v>NA</v>
      </c>
      <c r="V69" s="4" t="str">
        <v>S74MC0240B</v>
      </c>
      <c r="W69" s="4" t="str">
        <v>212B GEYLANG ROAD 389272</v>
      </c>
      <c r="X69" s="4" t="str">
        <v>212 GEYLANG ROAD 389272</v>
      </c>
      <c r="Y69" s="4" t="str">
        <v>MCST</v>
      </c>
      <c r="Z69" s="4" t="str">
        <v>No usable phone or email found</v>
      </c>
      <c r="AA69" s="4" t="str">
        <v>No relevant professional relationship established from the property/MCST LinkedIn searches. This does not prove no contact exists.</v>
      </c>
      <c r="AB69" s="4" t="str">
        <v>site:linkedin.com/in "212B GEYLANG ROAD" Singapore (manager OR management OR facilities OR "quantity surveyor" OR director)</v>
      </c>
      <c r="AC69" s="4" t="str">
        <v>site:linkedin.com "212B GEYLANG ROAD" Singapore</v>
      </c>
      <c r="AD69" s="13" t="n">
        <v>46298</v>
      </c>
      <c r="AE69" s="11" t="str"/>
    </row>
    <row r="70" ht="50" customHeight="1">
      <c r="A70" s="4" t="str">
        <v>0288</v>
      </c>
      <c r="B70" s="4" t="str">
        <v>MANAGEMENT CORPORATION STRATA TITLE PLAN NO. 0288</v>
      </c>
      <c r="C70" s="4" t="str"/>
      <c r="D70" s="4" t="str">
        <v>No suitable lead found</v>
      </c>
      <c r="E70" s="4" t="str"/>
      <c r="F70" s="4" t="str"/>
      <c r="G70" s="4" t="str"/>
      <c r="H70" s="4" t="str"/>
      <c r="I70" s="4" t="str"/>
      <c r="J70" s="11" t="str"/>
      <c r="K70" s="4" t="str"/>
      <c r="L70" s="4" t="str"/>
      <c r="M70" s="4" t="str"/>
      <c r="N70" s="4" t="str"/>
      <c r="O70" s="11" t="str"/>
      <c r="P70" s="11" t="str"/>
      <c r="Q70" s="11" t="str"/>
      <c r="R70" s="12" t="n">
        <v>0</v>
      </c>
      <c r="S70" s="4" t="str"/>
      <c r="T70" s="4" t="str">
        <v>No published email found</v>
      </c>
      <c r="U70" s="4" t="str">
        <v>NA</v>
      </c>
      <c r="V70" s="4" t="str">
        <v>S76MC0288L</v>
      </c>
      <c r="W70" s="4" t="str">
        <v>2B LORONG 42 GEYLANG 398022</v>
      </c>
      <c r="X70" s="4" t="str">
        <v>2 LORONG 42 GEYLANG 398022</v>
      </c>
      <c r="Y70" s="4" t="str">
        <v>NA</v>
      </c>
      <c r="Z70" s="4" t="str">
        <v>No usable phone or email found</v>
      </c>
      <c r="AA70" s="4" t="str">
        <v>No relevant professional relationship established from the property/MCST LinkedIn searches. This does not prove no contact exists.</v>
      </c>
      <c r="AB70" s="4" t="str">
        <v>site:linkedin.com/in "2B LORONG 42 GEYLANG" Singapore (manager OR management OR facilities OR "quantity surveyor" OR director)</v>
      </c>
      <c r="AC70" s="4" t="str">
        <v>site:linkedin.com "2B LORONG 42 GEYLANG" Singapore</v>
      </c>
      <c r="AD70" s="13" t="n">
        <v>46298</v>
      </c>
      <c r="AE70" s="11" t="str"/>
    </row>
    <row r="71" ht="50" customHeight="1">
      <c r="A71" s="4" t="str">
        <v>0289</v>
      </c>
      <c r="B71" s="4" t="str">
        <v>MANAGEMENT CORPORATION STRATA TITLE PLAN NO. 0289</v>
      </c>
      <c r="C71" s="4" t="str"/>
      <c r="D71" s="4" t="str">
        <v>No suitable lead found</v>
      </c>
      <c r="E71" s="4" t="str"/>
      <c r="F71" s="4" t="str"/>
      <c r="G71" s="4" t="str"/>
      <c r="H71" s="4" t="str"/>
      <c r="I71" s="4" t="str"/>
      <c r="J71" s="11" t="str"/>
      <c r="K71" s="4" t="str"/>
      <c r="L71" s="4" t="str"/>
      <c r="M71" s="4" t="str"/>
      <c r="N71" s="4" t="str"/>
      <c r="O71" s="11" t="str"/>
      <c r="P71" s="11" t="str"/>
      <c r="Q71" s="11" t="str"/>
      <c r="R71" s="12" t="n">
        <v>0</v>
      </c>
      <c r="S71" s="4" t="str"/>
      <c r="T71" s="4" t="str">
        <v>No published email found</v>
      </c>
      <c r="U71" s="4" t="str">
        <v>NA</v>
      </c>
      <c r="V71" s="4" t="str">
        <v>S76MC0289G</v>
      </c>
      <c r="W71" s="4" t="str">
        <v>4 LORONG 42 GEYLANG 398023</v>
      </c>
      <c r="X71" s="4" t="str">
        <v>17 LORONG 23 GEYLANG 7-6 YI LI INDUSTRIAL BUILDING 388371</v>
      </c>
      <c r="Y71" s="4" t="str">
        <v>ALADDIN MANAGEMENT SOLUTIONS PTE LTD</v>
      </c>
      <c r="Z71" s="4" t="str">
        <v>No usable phone or email found</v>
      </c>
      <c r="AA71" s="4" t="str">
        <v>Historical registered agent Aladdin Management Solutions appears in ACRA’s 4 March 2024 final striking-off gazette. No suitable replacement professional found.</v>
      </c>
      <c r="AB71" s="4" t="str">
        <v>site:linkedin.com/in "4 LORONG 42 GEYLANG" Singapore (manager OR management OR facilities OR "quantity surveyor" OR director)</v>
      </c>
      <c r="AC71" s="4" t="str">
        <v>site:linkedin.com "4 LORONG 42 GEYLANG" Singapore</v>
      </c>
      <c r="AD71" s="13" t="n">
        <v>46298</v>
      </c>
      <c r="AE71" s="11" t="str">
        <v>https://www.acra.gov.sg/docs/default-source/default-document-library/compliance/striking-off-entities/final-gazette-company-4-march-2024.pdf</v>
      </c>
    </row>
    <row r="72" ht="50" customHeight="1">
      <c r="A72" s="4" t="str">
        <v>0291</v>
      </c>
      <c r="B72" s="4" t="str">
        <v>MANAGEMENT CORPORATION STRATA TITLE PLAN NO. 0291</v>
      </c>
      <c r="C72" s="4" t="str"/>
      <c r="D72" s="4" t="str">
        <v>No suitable lead found</v>
      </c>
      <c r="E72" s="4" t="str"/>
      <c r="F72" s="4" t="str"/>
      <c r="G72" s="4" t="str"/>
      <c r="H72" s="4" t="str"/>
      <c r="I72" s="4" t="str"/>
      <c r="J72" s="11" t="str"/>
      <c r="K72" s="4" t="str"/>
      <c r="L72" s="4" t="str"/>
      <c r="M72" s="4" t="str"/>
      <c r="N72" s="4" t="str"/>
      <c r="O72" s="11" t="str"/>
      <c r="P72" s="11" t="str"/>
      <c r="Q72" s="11" t="str"/>
      <c r="R72" s="12" t="n">
        <v>0</v>
      </c>
      <c r="S72" s="4" t="str"/>
      <c r="T72" s="4" t="str">
        <v>No published email found</v>
      </c>
      <c r="U72" s="4" t="str">
        <v>NA</v>
      </c>
      <c r="V72" s="4" t="str">
        <v>S76MC0291L</v>
      </c>
      <c r="W72" s="4" t="str">
        <v>8 LORONG 42 GEYLANG 398025</v>
      </c>
      <c r="X72" s="4" t="str">
        <v>23 PANG SENG ROAD 348323</v>
      </c>
      <c r="Y72" s="4" t="str">
        <v>NIL</v>
      </c>
      <c r="Z72" s="4" t="str">
        <v>No usable phone or email found</v>
      </c>
      <c r="AA72" s="4" t="str">
        <v>No relevant professional relationship established from the property/MCST LinkedIn searches. This does not prove no contact exists.</v>
      </c>
      <c r="AB72" s="4" t="str">
        <v>site:linkedin.com/in "8 LORONG 42 GEYLANG" Singapore (manager OR management OR facilities OR "quantity surveyor" OR director)</v>
      </c>
      <c r="AC72" s="4" t="str">
        <v>site:linkedin.com "8 LORONG 42 GEYLANG" Singapore</v>
      </c>
      <c r="AD72" s="13" t="n">
        <v>46298</v>
      </c>
      <c r="AE72" s="11" t="str"/>
    </row>
    <row r="73" ht="50" customHeight="1">
      <c r="A73" s="4" t="str">
        <v>0337</v>
      </c>
      <c r="B73" s="4" t="str">
        <v>MANAGEMENT CORPORATION STRATA TITLE PLAN NO. 0337</v>
      </c>
      <c r="C73" s="4" t="str"/>
      <c r="D73" s="4" t="str">
        <v>No suitable lead found</v>
      </c>
      <c r="E73" s="4" t="str"/>
      <c r="F73" s="4" t="str"/>
      <c r="G73" s="4" t="str"/>
      <c r="H73" s="4" t="str"/>
      <c r="I73" s="4" t="str"/>
      <c r="J73" s="11" t="str"/>
      <c r="K73" s="4" t="str"/>
      <c r="L73" s="4" t="str"/>
      <c r="M73" s="4" t="str"/>
      <c r="N73" s="4" t="str"/>
      <c r="O73" s="11" t="str"/>
      <c r="P73" s="11" t="str"/>
      <c r="Q73" s="11" t="str"/>
      <c r="R73" s="12" t="n">
        <v>0</v>
      </c>
      <c r="S73" s="4" t="str"/>
      <c r="T73" s="4" t="str">
        <v>No published email found</v>
      </c>
      <c r="U73" s="4" t="str">
        <v>NA</v>
      </c>
      <c r="V73" s="4" t="str">
        <v>S77MC0337H</v>
      </c>
      <c r="W73" s="4" t="str">
        <v>126B PASIR PANJANG ROAD 118546</v>
      </c>
      <c r="X73" s="4" t="str">
        <v>126/A/B PASIR PANJANG ROAD 118546</v>
      </c>
      <c r="Y73" s="4" t="str">
        <v>NIL</v>
      </c>
      <c r="Z73" s="4" t="str">
        <v>No usable phone or email found</v>
      </c>
      <c r="AA73" s="4" t="str">
        <v>No relevant professional relationship established from the property/MCST LinkedIn searches. This does not prove no contact exists.</v>
      </c>
      <c r="AB73" s="4" t="str">
        <v>site:linkedin.com/in "126B PASIR PANJANG ROAD" Singapore (manager OR management OR facilities OR "quantity surveyor" OR director)</v>
      </c>
      <c r="AC73" s="4" t="str">
        <v>site:linkedin.com "126B PASIR PANJANG ROAD" Singapore</v>
      </c>
      <c r="AD73" s="13" t="n">
        <v>46298</v>
      </c>
      <c r="AE73" s="11" t="str"/>
    </row>
    <row r="74" ht="50" customHeight="1">
      <c r="A74" s="4" t="str">
        <v>0353</v>
      </c>
      <c r="B74" s="4" t="str">
        <v>MANAGEMENT CORPORATION STRATA TITLE PLAN NO. 0353</v>
      </c>
      <c r="C74" s="4" t="str"/>
      <c r="D74" s="4" t="str">
        <v>No suitable lead found</v>
      </c>
      <c r="E74" s="4" t="str"/>
      <c r="F74" s="4" t="str"/>
      <c r="G74" s="4" t="str"/>
      <c r="H74" s="4" t="str"/>
      <c r="I74" s="4" t="str"/>
      <c r="J74" s="11" t="str"/>
      <c r="K74" s="4" t="str"/>
      <c r="L74" s="4" t="str"/>
      <c r="M74" s="4" t="str"/>
      <c r="N74" s="4" t="str"/>
      <c r="O74" s="11" t="str"/>
      <c r="P74" s="11" t="str"/>
      <c r="Q74" s="11" t="str"/>
      <c r="R74" s="12" t="n">
        <v>0</v>
      </c>
      <c r="S74" s="4" t="str"/>
      <c r="T74" s="4" t="str">
        <v>No published email found</v>
      </c>
      <c r="U74" s="4" t="str">
        <v>NA</v>
      </c>
      <c r="V74" s="4" t="str">
        <v>S77MC0353A</v>
      </c>
      <c r="W74" s="4" t="str">
        <v>290 BALESTIER ROAD 329732</v>
      </c>
      <c r="X74" s="4" t="str">
        <v>290 BALESTIER ROAD 329732</v>
      </c>
      <c r="Y74" s="4" t="str">
        <v>MDM MOH TAI HO</v>
      </c>
      <c r="Z74" s="4" t="str">
        <v>No usable phone or email found</v>
      </c>
      <c r="AA74" s="4" t="str">
        <v>No relevant professional relationship established from the property/MCST LinkedIn searches. This does not prove no contact exists.</v>
      </c>
      <c r="AB74" s="4" t="str">
        <v>site:linkedin.com/in "290 BALESTIER ROAD" Singapore (manager OR management OR facilities OR "quantity surveyor" OR director)</v>
      </c>
      <c r="AC74" s="4" t="str">
        <v>site:linkedin.com "290 BALESTIER ROAD" Singapore</v>
      </c>
      <c r="AD74" s="13" t="n">
        <v>46298</v>
      </c>
      <c r="AE74" s="11" t="str"/>
    </row>
    <row r="75" ht="50" customHeight="1">
      <c r="A75" s="4" t="str">
        <v>0375</v>
      </c>
      <c r="B75" s="4" t="str">
        <v>MANAGEMENT CORPORATION STRATA TITLE PLAN NO. 0375</v>
      </c>
      <c r="C75" s="4" t="str"/>
      <c r="D75" s="4" t="str">
        <v>No suitable lead found</v>
      </c>
      <c r="E75" s="4" t="str"/>
      <c r="F75" s="4" t="str"/>
      <c r="G75" s="4" t="str"/>
      <c r="H75" s="4" t="str"/>
      <c r="I75" s="4" t="str"/>
      <c r="J75" s="11" t="str"/>
      <c r="K75" s="4" t="str"/>
      <c r="L75" s="4" t="str"/>
      <c r="M75" s="4" t="str"/>
      <c r="N75" s="4" t="str"/>
      <c r="O75" s="11" t="str"/>
      <c r="P75" s="11" t="str"/>
      <c r="Q75" s="11" t="str"/>
      <c r="R75" s="12" t="n">
        <v>0</v>
      </c>
      <c r="S75" s="4" t="str"/>
      <c r="T75" s="4" t="str">
        <v>No published email found</v>
      </c>
      <c r="U75" s="4" t="str">
        <v>NA</v>
      </c>
      <c r="V75" s="4" t="str">
        <v>S77MC0375C</v>
      </c>
      <c r="W75" s="4" t="str">
        <v>94 RANGOON ROAD 218379</v>
      </c>
      <c r="X75" s="4" t="str">
        <v>94 RANGOON ROAD 218379</v>
      </c>
      <c r="Y75" s="4" t="str">
        <v>NIL</v>
      </c>
      <c r="Z75" s="4" t="str">
        <v>No usable phone or email found</v>
      </c>
      <c r="AA75" s="4" t="str">
        <v>Address/profile mention did not establish a property-management or project relationship.</v>
      </c>
      <c r="AB75" s="4" t="str">
        <v>site:linkedin.com/in "94 RANGOON ROAD" Singapore (manager OR management OR facilities OR "quantity surveyor" OR director)</v>
      </c>
      <c r="AC75" s="4" t="str">
        <v>site:linkedin.com "94 RANGOON ROAD" Singapore</v>
      </c>
      <c r="AD75" s="13" t="n">
        <v>46298</v>
      </c>
      <c r="AE75" s="11" t="str"/>
    </row>
    <row r="76" ht="50" customHeight="1">
      <c r="A76" s="4" t="str">
        <v>1244</v>
      </c>
      <c r="B76" s="4" t="str">
        <v>MANAGEMENT CORPORATION STRATA TITLE PLAN NO. 1244</v>
      </c>
      <c r="C76" s="4" t="str"/>
      <c r="D76" s="4" t="str">
        <v>No suitable lead found</v>
      </c>
      <c r="E76" s="4" t="str"/>
      <c r="F76" s="4" t="str"/>
      <c r="G76" s="4" t="str"/>
      <c r="H76" s="4" t="str"/>
      <c r="I76" s="4" t="str"/>
      <c r="J76" s="11" t="str"/>
      <c r="K76" s="4" t="str"/>
      <c r="L76" s="4" t="str"/>
      <c r="M76" s="4" t="str"/>
      <c r="N76" s="4" t="str"/>
      <c r="O76" s="11" t="str"/>
      <c r="P76" s="11" t="str"/>
      <c r="Q76" s="11" t="str"/>
      <c r="R76" s="12" t="n">
        <v>0</v>
      </c>
      <c r="S76" s="4" t="str"/>
      <c r="T76" s="4" t="str">
        <v>No published email found</v>
      </c>
      <c r="U76" s="4" t="str">
        <v>NA</v>
      </c>
      <c r="V76" s="4" t="str">
        <v>S87MC1244F</v>
      </c>
      <c r="W76" s="4" t="str">
        <v>241B GEYLANG ROAD 389300</v>
      </c>
      <c r="X76" s="4" t="str">
        <v>810 NORTH BRIDGE ROAD 197887</v>
      </c>
      <c r="Y76" s="4" t="str">
        <v>NIL</v>
      </c>
      <c r="Z76" s="4" t="str">
        <v>No usable phone or email found</v>
      </c>
      <c r="AA76" s="4" t="str">
        <v>No relevant professional relationship established from the property/MCST LinkedIn searches. This does not prove no contact exists.</v>
      </c>
      <c r="AB76" s="4" t="str">
        <v>site:linkedin.com/in "241B GEYLANG ROAD" Singapore (manager OR management OR facilities OR "quantity surveyor" OR director)</v>
      </c>
      <c r="AC76" s="4" t="str">
        <v>site:linkedin.com "241B GEYLANG ROAD" Singapore</v>
      </c>
      <c r="AD76" s="13" t="n">
        <v>46298</v>
      </c>
      <c r="AE76" s="11" t="str"/>
    </row>
    <row r="77" ht="50" customHeight="1">
      <c r="A77" s="4" t="str">
        <v>1403</v>
      </c>
      <c r="B77" s="4" t="str">
        <v>MANAGEMENT CORPORATION STRATA TITLE PLAN NO. 1403</v>
      </c>
      <c r="C77" s="4" t="str"/>
      <c r="D77" s="4" t="str">
        <v>No suitable lead found</v>
      </c>
      <c r="E77" s="4" t="str"/>
      <c r="F77" s="4" t="str"/>
      <c r="G77" s="4" t="str"/>
      <c r="H77" s="4" t="str"/>
      <c r="I77" s="4" t="str"/>
      <c r="J77" s="11" t="str"/>
      <c r="K77" s="4" t="str"/>
      <c r="L77" s="4" t="str"/>
      <c r="M77" s="4" t="str"/>
      <c r="N77" s="4" t="str"/>
      <c r="O77" s="11" t="str"/>
      <c r="P77" s="11" t="str"/>
      <c r="Q77" s="11" t="str"/>
      <c r="R77" s="12" t="n">
        <v>0</v>
      </c>
      <c r="S77" s="4" t="str"/>
      <c r="T77" s="4" t="str">
        <v>No published email found</v>
      </c>
      <c r="U77" s="4" t="str">
        <v>NA</v>
      </c>
      <c r="V77" s="4" t="str">
        <v>S88MC1403K</v>
      </c>
      <c r="W77" s="4" t="str">
        <v>413/A SEMBAWANG ROAD 758385</v>
      </c>
      <c r="X77" s="4" t="str">
        <v>413 SEMBAWANG ROAD 758389</v>
      </c>
      <c r="Y77" s="4" t="str">
        <v>NA</v>
      </c>
      <c r="Z77" s="4" t="str">
        <v>No usable phone or email found</v>
      </c>
      <c r="AA77" s="4" t="str">
        <v>No relevant professional relationship established from the property/MCST LinkedIn searches. This does not prove no contact exists.</v>
      </c>
      <c r="AB77" s="4" t="str">
        <v>site:linkedin.com/in "413/A SEMBAWANG ROAD" Singapore (manager OR management OR facilities OR "quantity surveyor" OR director)</v>
      </c>
      <c r="AC77" s="4" t="str">
        <v>site:linkedin.com "413/A SEMBAWANG ROAD" Singapore</v>
      </c>
      <c r="AD77" s="13" t="n">
        <v>46298</v>
      </c>
      <c r="AE77" s="11" t="str"/>
    </row>
    <row r="78" ht="50" customHeight="1">
      <c r="A78" s="4" t="str">
        <v>1464</v>
      </c>
      <c r="B78" s="4" t="str">
        <v>MANAGEMENT CORPORATION STRATA TITLE PLAN NO. 1464</v>
      </c>
      <c r="C78" s="4" t="str"/>
      <c r="D78" s="4" t="str">
        <v>No suitable lead found</v>
      </c>
      <c r="E78" s="4" t="str"/>
      <c r="F78" s="4" t="str"/>
      <c r="G78" s="4" t="str"/>
      <c r="H78" s="4" t="str"/>
      <c r="I78" s="4" t="str"/>
      <c r="J78" s="11" t="str"/>
      <c r="K78" s="4" t="str"/>
      <c r="L78" s="4" t="str"/>
      <c r="M78" s="4" t="str"/>
      <c r="N78" s="4" t="str"/>
      <c r="O78" s="11" t="str"/>
      <c r="P78" s="11" t="str"/>
      <c r="Q78" s="11" t="str"/>
      <c r="R78" s="12" t="n">
        <v>0</v>
      </c>
      <c r="S78" s="4" t="str"/>
      <c r="T78" s="4" t="str">
        <v>No published email found</v>
      </c>
      <c r="U78" s="4" t="str">
        <v>NA</v>
      </c>
      <c r="V78" s="4" t="str">
        <v>S89MC1464H</v>
      </c>
      <c r="W78" s="4" t="str">
        <v>137B HAIG ROAD 438767</v>
      </c>
      <c r="X78" s="4" t="str">
        <v>137 HAIG ROAD 438767</v>
      </c>
      <c r="Y78" s="4" t="str">
        <v>N</v>
      </c>
      <c r="Z78" s="4" t="str">
        <v>No usable phone or email found</v>
      </c>
      <c r="AA78" s="4" t="str">
        <v>No relevant professional relationship established from the property/MCST LinkedIn searches. This does not prove no contact exists.</v>
      </c>
      <c r="AB78" s="4" t="str">
        <v>site:linkedin.com/in "137B HAIG ROAD" Singapore (manager OR management OR facilities OR "quantity surveyor" OR director)</v>
      </c>
      <c r="AC78" s="4" t="str">
        <v>site:linkedin.com "137B HAIG ROAD" Singapore</v>
      </c>
      <c r="AD78" s="13" t="n">
        <v>46298</v>
      </c>
      <c r="AE78" s="11" t="str"/>
    </row>
    <row r="79" ht="50" customHeight="1">
      <c r="A79" s="4" t="str">
        <v>2008</v>
      </c>
      <c r="B79" s="4" t="str">
        <v>MANAGEMENT CORPORATION STRATA TITLE PLAN NO. 2008</v>
      </c>
      <c r="C79" s="4" t="str"/>
      <c r="D79" s="4" t="str">
        <v>No suitable lead found</v>
      </c>
      <c r="E79" s="4" t="str"/>
      <c r="F79" s="4" t="str"/>
      <c r="G79" s="4" t="str"/>
      <c r="H79" s="4" t="str"/>
      <c r="I79" s="4" t="str"/>
      <c r="J79" s="11" t="str"/>
      <c r="K79" s="4" t="str"/>
      <c r="L79" s="4" t="str"/>
      <c r="M79" s="4" t="str"/>
      <c r="N79" s="4" t="str"/>
      <c r="O79" s="11" t="str"/>
      <c r="P79" s="11" t="str"/>
      <c r="Q79" s="11" t="str"/>
      <c r="R79" s="12" t="n">
        <v>0</v>
      </c>
      <c r="S79" s="4" t="str"/>
      <c r="T79" s="4" t="str">
        <v>No published email found</v>
      </c>
      <c r="U79" s="4" t="str">
        <v>NA</v>
      </c>
      <c r="V79" s="4" t="str">
        <v>S96MC2008K</v>
      </c>
      <c r="W79" s="4" t="str">
        <v>75 CARPMAEL ROAD 429812</v>
      </c>
      <c r="X79" s="4" t="str">
        <v>1001A UPPER SERANGOON ROAD 534741</v>
      </c>
      <c r="Y79" s="4" t="str">
        <v>MCST</v>
      </c>
      <c r="Z79" s="4" t="str">
        <v>No usable phone or email found</v>
      </c>
      <c r="AA79" s="4" t="str">
        <v>No relevant professional relationship established from the property/MCST LinkedIn searches. This does not prove no contact exists.</v>
      </c>
      <c r="AB79" s="4" t="str">
        <v>site:linkedin.com/in "75 CARPMAEL ROAD" Singapore (manager OR management OR facilities OR "quantity surveyor" OR director)</v>
      </c>
      <c r="AC79" s="4" t="str">
        <v>site:linkedin.com "75 CARPMAEL ROAD" Singapore</v>
      </c>
      <c r="AD79" s="13" t="n">
        <v>46298</v>
      </c>
      <c r="AE79" s="11" t="str"/>
    </row>
    <row r="80" ht="50" customHeight="1">
      <c r="A80" s="4" t="str">
        <v>2021</v>
      </c>
      <c r="B80" s="4" t="str">
        <v>MANAGEMENT CORPORATION STRATA TITLE PLAN NO. 2021</v>
      </c>
      <c r="C80" s="4" t="str"/>
      <c r="D80" s="4" t="str">
        <v>No suitable lead found</v>
      </c>
      <c r="E80" s="4" t="str"/>
      <c r="F80" s="4" t="str"/>
      <c r="G80" s="4" t="str"/>
      <c r="H80" s="4" t="str"/>
      <c r="I80" s="4" t="str"/>
      <c r="J80" s="11" t="str"/>
      <c r="K80" s="4" t="str"/>
      <c r="L80" s="4" t="str"/>
      <c r="M80" s="4" t="str"/>
      <c r="N80" s="4" t="str"/>
      <c r="O80" s="11" t="str"/>
      <c r="P80" s="11" t="str"/>
      <c r="Q80" s="11" t="str"/>
      <c r="R80" s="12" t="n">
        <v>0</v>
      </c>
      <c r="S80" s="4" t="str"/>
      <c r="T80" s="4" t="str">
        <v>No published email found</v>
      </c>
      <c r="U80" s="4" t="str">
        <v>NA</v>
      </c>
      <c r="V80" s="4" t="str">
        <v>S96MC2021D</v>
      </c>
      <c r="W80" s="4" t="str">
        <v>255 JALAN BESAR 208928</v>
      </c>
      <c r="X80" s="4" t="str">
        <v>255 JALAN BESAR 208928</v>
      </c>
      <c r="Y80" s="4" t="str">
        <v>NIL</v>
      </c>
      <c r="Z80" s="4" t="str">
        <v>No usable phone or email found</v>
      </c>
      <c r="AA80" s="4" t="str">
        <v>No relevant professional relationship established from the property/MCST LinkedIn searches. This does not prove no contact exists.</v>
      </c>
      <c r="AB80" s="4" t="str">
        <v>site:linkedin.com/in "255 JALAN BESAR" Singapore (manager OR management OR facilities OR "quantity surveyor" OR director)</v>
      </c>
      <c r="AC80" s="4" t="str">
        <v>site:linkedin.com "255 JALAN BESAR" Singapore</v>
      </c>
      <c r="AD80" s="13" t="n">
        <v>46298</v>
      </c>
      <c r="AE80" s="11" t="str"/>
    </row>
    <row r="81" ht="50" customHeight="1">
      <c r="A81" s="4" t="str">
        <v>2062</v>
      </c>
      <c r="B81" s="4" t="str">
        <v>MANAGEMENT CORPORATION STRATA TITLE PLAN NO. 2062</v>
      </c>
      <c r="C81" s="4" t="str"/>
      <c r="D81" s="4" t="str">
        <v>No suitable lead found</v>
      </c>
      <c r="E81" s="4" t="str"/>
      <c r="F81" s="4" t="str"/>
      <c r="G81" s="4" t="str"/>
      <c r="H81" s="4" t="str"/>
      <c r="I81" s="4" t="str"/>
      <c r="J81" s="11" t="str"/>
      <c r="K81" s="4" t="str"/>
      <c r="L81" s="4" t="str"/>
      <c r="M81" s="4" t="str"/>
      <c r="N81" s="4" t="str"/>
      <c r="O81" s="11" t="str"/>
      <c r="P81" s="11" t="str"/>
      <c r="Q81" s="11" t="str"/>
      <c r="R81" s="12" t="n">
        <v>0</v>
      </c>
      <c r="S81" s="4" t="str"/>
      <c r="T81" s="4" t="str">
        <v>No published email found</v>
      </c>
      <c r="U81" s="4" t="str">
        <v>NA</v>
      </c>
      <c r="V81" s="4" t="str">
        <v>S97MC2062C</v>
      </c>
      <c r="W81" s="4" t="str">
        <v>325 BALESTIER ROAD 329754</v>
      </c>
      <c r="X81" s="4" t="str">
        <v>325A BALESTIER ROAD JW BUILDING 329755</v>
      </c>
      <c r="Y81" s="4" t="str">
        <v>MCST</v>
      </c>
      <c r="Z81" s="4" t="str">
        <v>No usable phone or email found</v>
      </c>
      <c r="AA81" s="4" t="str">
        <v>No relevant professional relationship established from the property/MCST LinkedIn searches. This does not prove no contact exists.</v>
      </c>
      <c r="AB81" s="4" t="str">
        <v>site:linkedin.com/in "325 BALESTIER ROAD" Singapore (manager OR management OR facilities OR "quantity surveyor" OR director)</v>
      </c>
      <c r="AC81" s="4" t="str">
        <v>site:linkedin.com "325 BALESTIER ROAD" Singapore</v>
      </c>
      <c r="AD81" s="13" t="n">
        <v>46298</v>
      </c>
      <c r="AE81" s="11" t="str"/>
    </row>
    <row r="82" ht="50" customHeight="1">
      <c r="A82" s="4" t="str">
        <v>2163</v>
      </c>
      <c r="B82" s="4" t="str">
        <v>MANAGEMENT CORPORATION STRATA TITLE PLAN NO.2163</v>
      </c>
      <c r="C82" s="4" t="str"/>
      <c r="D82" s="4" t="str">
        <v>No suitable lead found</v>
      </c>
      <c r="E82" s="4" t="str"/>
      <c r="F82" s="4" t="str"/>
      <c r="G82" s="4" t="str"/>
      <c r="H82" s="4" t="str"/>
      <c r="I82" s="4" t="str"/>
      <c r="J82" s="11" t="str"/>
      <c r="K82" s="4" t="str"/>
      <c r="L82" s="4" t="str"/>
      <c r="M82" s="4" t="str"/>
      <c r="N82" s="4" t="str"/>
      <c r="O82" s="11" t="str"/>
      <c r="P82" s="11" t="str"/>
      <c r="Q82" s="11" t="str"/>
      <c r="R82" s="12" t="n">
        <v>0</v>
      </c>
      <c r="S82" s="4" t="str"/>
      <c r="T82" s="4" t="str">
        <v>No published email found</v>
      </c>
      <c r="U82" s="4" t="str">
        <v>NA</v>
      </c>
      <c r="V82" s="4" t="str">
        <v>S98MC2163F</v>
      </c>
      <c r="W82" s="4" t="str">
        <v>40 LORONG 23 GEYLANG 388373</v>
      </c>
      <c r="X82" s="4" t="str">
        <v>24 TANNERY LANE 6-6 TANNERY HOUSE 347790</v>
      </c>
      <c r="Y82" s="4" t="str">
        <v>HOE-TAN CO (PTE) LTD</v>
      </c>
      <c r="Z82" s="4" t="str">
        <v>No usable phone or email found</v>
      </c>
      <c r="AA82" s="4" t="str">
        <v>No relevant professional relationship established from the property/MCST LinkedIn searches. This does not prove no contact exists.</v>
      </c>
      <c r="AB82" s="4" t="str">
        <v>site:linkedin.com/in "40 LORONG 23 GEYLANG" Singapore (manager OR management OR facilities OR "quantity surveyor" OR director)</v>
      </c>
      <c r="AC82" s="4" t="str">
        <v>site:linkedin.com "40 LORONG 23 GEYLANG" Singapore</v>
      </c>
      <c r="AD82" s="13" t="n">
        <v>46298</v>
      </c>
      <c r="AE82" s="11" t="str"/>
    </row>
    <row r="83" ht="50" customHeight="1">
      <c r="A83" s="4" t="str">
        <v>3379</v>
      </c>
      <c r="B83" s="4" t="str">
        <v>MAS BUILDING</v>
      </c>
      <c r="C83" s="4" t="str"/>
      <c r="D83" s="4" t="str">
        <v>No suitable lead found</v>
      </c>
      <c r="E83" s="4" t="str"/>
      <c r="F83" s="4" t="str"/>
      <c r="G83" s="4" t="str"/>
      <c r="H83" s="4" t="str"/>
      <c r="I83" s="4" t="str"/>
      <c r="J83" s="11" t="str"/>
      <c r="K83" s="4" t="str"/>
      <c r="L83" s="4" t="str"/>
      <c r="M83" s="4" t="str"/>
      <c r="N83" s="4" t="str"/>
      <c r="O83" s="11" t="str"/>
      <c r="P83" s="11" t="str"/>
      <c r="Q83" s="11" t="str"/>
      <c r="R83" s="12" t="n">
        <v>0</v>
      </c>
      <c r="S83" s="4" t="str"/>
      <c r="T83" s="4" t="str">
        <v>No published email found</v>
      </c>
      <c r="U83" s="4" t="str">
        <v>NA</v>
      </c>
      <c r="V83" s="4" t="str">
        <v>T08MC3381G</v>
      </c>
      <c r="W83" s="4" t="str">
        <v>NA</v>
      </c>
      <c r="X83" s="4" t="str">
        <v>10 SHENTON WAY MAS BUILDING 079117</v>
      </c>
      <c r="Y83" s="4" t="str">
        <v>NA</v>
      </c>
      <c r="Z83" s="4" t="str">
        <v>No usable phone or email found</v>
      </c>
      <c r="AA83" s="4" t="str">
        <v>MAS employees and banking facilities-compliance references did not establish responsibility for the building.</v>
      </c>
      <c r="AB83" s="4" t="str">
        <v>site:linkedin.com/in "MAS BUILDING" Singapore (manager OR management OR facilities OR "quantity surveyor" OR director)</v>
      </c>
      <c r="AC83" s="4" t="str">
        <v>site:linkedin.com "MAS BUILDING" Singapore</v>
      </c>
      <c r="AD83" s="13" t="n">
        <v>46298</v>
      </c>
      <c r="AE83" s="11" t="str"/>
    </row>
    <row r="84" ht="50" customHeight="1">
      <c r="A84" s="4" t="str">
        <v>0442</v>
      </c>
      <c r="B84" s="4" t="str">
        <v>MCST 0442</v>
      </c>
      <c r="C84" s="4" t="str"/>
      <c r="D84" s="4" t="str">
        <v>No suitable lead found</v>
      </c>
      <c r="E84" s="4" t="str"/>
      <c r="F84" s="4" t="str"/>
      <c r="G84" s="4" t="str"/>
      <c r="H84" s="4" t="str"/>
      <c r="I84" s="4" t="str"/>
      <c r="J84" s="11" t="str"/>
      <c r="K84" s="4" t="str"/>
      <c r="L84" s="4" t="str"/>
      <c r="M84" s="4" t="str"/>
      <c r="N84" s="4" t="str"/>
      <c r="O84" s="11" t="str"/>
      <c r="P84" s="11" t="str"/>
      <c r="Q84" s="11" t="str"/>
      <c r="R84" s="12" t="n">
        <v>0</v>
      </c>
      <c r="S84" s="4" t="str"/>
      <c r="T84" s="4" t="str">
        <v>No published email found</v>
      </c>
      <c r="U84" s="4" t="str">
        <v>NA</v>
      </c>
      <c r="V84" s="4" t="str">
        <v>S79MC0442A</v>
      </c>
      <c r="W84" s="4" t="str">
        <v>908J UPPER THOMSON ROAD 787111</v>
      </c>
      <c r="X84" s="4" t="str">
        <v>108 POTONG PASIR AVENUE 1 10-484 350108</v>
      </c>
      <c r="Y84" s="4" t="str">
        <v>NA</v>
      </c>
      <c r="Z84" s="4" t="str">
        <v>No usable phone or email found</v>
      </c>
      <c r="AA84" s="4" t="str">
        <v>No relevant professional relationship established from the property/MCST LinkedIn searches. This does not prove no contact exists.</v>
      </c>
      <c r="AB84" s="4" t="str">
        <v>site:linkedin.com/in "908J UPPER THOMSON ROAD" Singapore (manager OR management OR facilities OR "quantity surveyor" OR director)</v>
      </c>
      <c r="AC84" s="4" t="str">
        <v>site:linkedin.com "908J UPPER THOMSON ROAD" Singapore</v>
      </c>
      <c r="AD84" s="13" t="n">
        <v>46298</v>
      </c>
      <c r="AE84" s="11" t="str"/>
    </row>
    <row r="85" ht="50" customHeight="1">
      <c r="A85" s="4" t="str">
        <v>2207</v>
      </c>
      <c r="B85" s="4" t="str">
        <v>MCST 2207</v>
      </c>
      <c r="C85" s="4" t="str"/>
      <c r="D85" s="4" t="str">
        <v>No suitable lead found</v>
      </c>
      <c r="E85" s="4" t="str"/>
      <c r="F85" s="4" t="str"/>
      <c r="G85" s="4" t="str"/>
      <c r="H85" s="4" t="str"/>
      <c r="I85" s="4" t="str"/>
      <c r="J85" s="11" t="str"/>
      <c r="K85" s="4" t="str"/>
      <c r="L85" s="4" t="str"/>
      <c r="M85" s="4" t="str"/>
      <c r="N85" s="4" t="str"/>
      <c r="O85" s="11" t="str"/>
      <c r="P85" s="11" t="str"/>
      <c r="Q85" s="11" t="str"/>
      <c r="R85" s="12" t="n">
        <v>0</v>
      </c>
      <c r="S85" s="4" t="str"/>
      <c r="T85" s="4" t="str">
        <v>No published email found</v>
      </c>
      <c r="U85" s="4" t="str">
        <v>NA</v>
      </c>
      <c r="V85" s="4" t="str">
        <v>S98MC2207F</v>
      </c>
      <c r="W85" s="4" t="str">
        <v>12 LORONG 19 GEYLANG 388493</v>
      </c>
      <c r="X85" s="4" t="str">
        <v>12 LORONG 19 GEYLANG 01-01 BOUGAINVILLA APARTMENT 388493</v>
      </c>
      <c r="Y85" s="4" t="str">
        <v>NA</v>
      </c>
      <c r="Z85" s="4" t="str">
        <v>No usable phone or email found</v>
      </c>
      <c r="AA85" s="4" t="str">
        <v>No relevant professional relationship established from the property/MCST LinkedIn searches. This does not prove no contact exists.</v>
      </c>
      <c r="AB85" s="4" t="str">
        <v>site:linkedin.com/in "12 LORONG 19 GEYLANG" Singapore (manager OR management OR facilities OR "quantity surveyor" OR director)</v>
      </c>
      <c r="AC85" s="4" t="str">
        <v>site:linkedin.com "12 LORONG 19 GEYLANG" Singapore</v>
      </c>
      <c r="AD85" s="13" t="n">
        <v>46298</v>
      </c>
      <c r="AE85" s="11" t="str"/>
    </row>
    <row r="86" ht="50" customHeight="1">
      <c r="A86" s="4" t="str">
        <v>4642</v>
      </c>
      <c r="B86" s="4" t="str">
        <v>MCST 4642</v>
      </c>
      <c r="C86" s="4" t="str"/>
      <c r="D86" s="4" t="str">
        <v>No suitable lead found</v>
      </c>
      <c r="E86" s="4" t="str"/>
      <c r="F86" s="4" t="str"/>
      <c r="G86" s="4" t="str"/>
      <c r="H86" s="4" t="str"/>
      <c r="I86" s="4" t="str"/>
      <c r="J86" s="11" t="str"/>
      <c r="K86" s="4" t="str"/>
      <c r="L86" s="4" t="str"/>
      <c r="M86" s="4" t="str"/>
      <c r="N86" s="4" t="str"/>
      <c r="O86" s="11" t="str"/>
      <c r="P86" s="11" t="str"/>
      <c r="Q86" s="11" t="str"/>
      <c r="R86" s="12" t="n">
        <v>0</v>
      </c>
      <c r="S86" s="4" t="str"/>
      <c r="T86" s="4" t="str">
        <v>No published email found</v>
      </c>
      <c r="U86" s="4" t="str">
        <v>NA</v>
      </c>
      <c r="V86" s="4" t="str">
        <v>T20MC0001J</v>
      </c>
      <c r="W86" s="4" t="str">
        <v>267 JOO CHIAT ROAD 427521</v>
      </c>
      <c r="X86" s="4" t="str">
        <v>267 JOO CHIAT ROAD 03-01 427521</v>
      </c>
      <c r="Y86" s="4" t="str">
        <v>NA</v>
      </c>
      <c r="Z86" s="4" t="str">
        <v>No usable phone or email found</v>
      </c>
      <c r="AA86" s="4" t="str">
        <v>No relevant professional relationship established from the property/MCST LinkedIn searches. This does not prove no contact exists.</v>
      </c>
      <c r="AB86" s="4" t="str">
        <v>site:linkedin.com/in "267 JOO CHIAT ROAD" Singapore (manager OR management OR facilities OR "quantity surveyor" OR director)</v>
      </c>
      <c r="AC86" s="4" t="str">
        <v>site:linkedin.com "267 JOO CHIAT ROAD" Singapore</v>
      </c>
      <c r="AD86" s="13" t="n">
        <v>46298</v>
      </c>
      <c r="AE86" s="11" t="str"/>
    </row>
    <row r="87" ht="50" customHeight="1">
      <c r="A87" s="4" t="str">
        <v>4500</v>
      </c>
      <c r="B87" s="4" t="str">
        <v>MOUNTBATTEN LIGHTS</v>
      </c>
      <c r="C87" s="4" t="str"/>
      <c r="D87" s="4" t="str">
        <v>No suitable lead found</v>
      </c>
      <c r="E87" s="4" t="str"/>
      <c r="F87" s="4" t="str"/>
      <c r="G87" s="4" t="str"/>
      <c r="H87" s="4" t="str"/>
      <c r="I87" s="4" t="str"/>
      <c r="J87" s="11" t="str"/>
      <c r="K87" s="4" t="str"/>
      <c r="L87" s="4" t="str"/>
      <c r="M87" s="4" t="str"/>
      <c r="N87" s="4" t="str"/>
      <c r="O87" s="11" t="str"/>
      <c r="P87" s="11" t="str"/>
      <c r="Q87" s="11" t="str"/>
      <c r="R87" s="12" t="n">
        <v>0</v>
      </c>
      <c r="S87" s="4" t="str"/>
      <c r="T87" s="4" t="str">
        <v>No published email found</v>
      </c>
      <c r="U87" s="4" t="str">
        <v>NA</v>
      </c>
      <c r="V87" s="4" t="str">
        <v>T17MC0045A</v>
      </c>
      <c r="W87" s="4" t="str">
        <v>737 MOUNTBATTEN ROAD 437747</v>
      </c>
      <c r="X87" s="4" t="str">
        <v>737C MOUNTBATTEN ROAD 437747</v>
      </c>
      <c r="Y87" s="4" t="str">
        <v>NA</v>
      </c>
      <c r="Z87" s="4" t="str">
        <v>No usable phone or email found</v>
      </c>
      <c r="AA87" s="4" t="str">
        <v>No relevant professional relationship established from the property/MCST LinkedIn searches. This does not prove no contact exists.</v>
      </c>
      <c r="AB87" s="4" t="str">
        <v>site:linkedin.com/in "MOUNTBATTEN LIGHTS" Singapore (manager OR management OR facilities OR "quantity surveyor" OR director)</v>
      </c>
      <c r="AC87" s="4" t="str">
        <v>site:linkedin.com "MOUNTBATTEN LIGHTS" Singapore</v>
      </c>
      <c r="AD87" s="13" t="n">
        <v>46298</v>
      </c>
      <c r="AE87" s="11" t="str"/>
    </row>
    <row r="88" ht="50" customHeight="1">
      <c r="A88" s="4" t="str">
        <v>0037</v>
      </c>
      <c r="B88" s="4" t="str">
        <v>NA</v>
      </c>
      <c r="C88" s="4" t="str"/>
      <c r="D88" s="4" t="str">
        <v>No suitable lead found</v>
      </c>
      <c r="E88" s="4" t="str"/>
      <c r="F88" s="4" t="str"/>
      <c r="G88" s="4" t="str"/>
      <c r="H88" s="4" t="str"/>
      <c r="I88" s="4" t="str"/>
      <c r="J88" s="11" t="str"/>
      <c r="K88" s="4" t="str"/>
      <c r="L88" s="4" t="str"/>
      <c r="M88" s="4" t="str"/>
      <c r="N88" s="4" t="str"/>
      <c r="O88" s="11" t="str"/>
      <c r="P88" s="11" t="str"/>
      <c r="Q88" s="11" t="str"/>
      <c r="R88" s="12" t="n">
        <v>0</v>
      </c>
      <c r="S88" s="4" t="str"/>
      <c r="T88" s="4" t="str">
        <v>No published email found</v>
      </c>
      <c r="U88" s="4" t="str">
        <v>NA</v>
      </c>
      <c r="V88" s="4" t="str">
        <v>S69MC0037J</v>
      </c>
      <c r="W88" s="4" t="str">
        <v>8B FLANDERS SQUARE 209298</v>
      </c>
      <c r="X88" s="4" t="str">
        <v>142 BEDOK RESERVOIR ROAD 08-1541 470142</v>
      </c>
      <c r="Y88" s="4" t="str">
        <v>MCST</v>
      </c>
      <c r="Z88" s="4" t="str">
        <v>No usable phone or email found</v>
      </c>
      <c r="AA88" s="4" t="str">
        <v>No relevant professional relationship established from the property/MCST LinkedIn searches. This does not prove no contact exists.</v>
      </c>
      <c r="AB88" s="4" t="str">
        <v>site:linkedin.com/in "8B FLANDERS SQUARE" Singapore (manager OR management OR facilities OR "quantity surveyor" OR director)</v>
      </c>
      <c r="AC88" s="4" t="str">
        <v>site:linkedin.com "8B FLANDERS SQUARE" Singapore</v>
      </c>
      <c r="AD88" s="13" t="n">
        <v>46298</v>
      </c>
      <c r="AE88" s="11" t="str"/>
    </row>
    <row r="89" ht="50" customHeight="1">
      <c r="A89" s="4" t="str">
        <v>0290</v>
      </c>
      <c r="B89" s="4" t="str">
        <v>NA</v>
      </c>
      <c r="C89" s="4" t="str"/>
      <c r="D89" s="4" t="str">
        <v>No suitable lead found</v>
      </c>
      <c r="E89" s="4" t="str"/>
      <c r="F89" s="4" t="str"/>
      <c r="G89" s="4" t="str"/>
      <c r="H89" s="4" t="str"/>
      <c r="I89" s="4" t="str"/>
      <c r="J89" s="11" t="str"/>
      <c r="K89" s="4" t="str"/>
      <c r="L89" s="4" t="str"/>
      <c r="M89" s="4" t="str"/>
      <c r="N89" s="4" t="str"/>
      <c r="O89" s="11" t="str"/>
      <c r="P89" s="11" t="str"/>
      <c r="Q89" s="11" t="str"/>
      <c r="R89" s="12" t="n">
        <v>0</v>
      </c>
      <c r="S89" s="4" t="str"/>
      <c r="T89" s="4" t="str">
        <v>No published email found</v>
      </c>
      <c r="U89" s="4" t="str">
        <v>NA</v>
      </c>
      <c r="V89" s="4" t="str">
        <v>S76MC0290D</v>
      </c>
      <c r="W89" s="4" t="str">
        <v>6 LORONG 42 GEYLANG 398024</v>
      </c>
      <c r="X89" s="4" t="str">
        <v>6A/B LORONG 42 GEYLANG 398024</v>
      </c>
      <c r="Y89" s="4" t="str">
        <v>NA</v>
      </c>
      <c r="Z89" s="4" t="str">
        <v>No usable phone or email found</v>
      </c>
      <c r="AA89" s="4" t="str">
        <v>No relevant professional relationship established from the property/MCST LinkedIn searches. This does not prove no contact exists.</v>
      </c>
      <c r="AB89" s="4" t="str">
        <v>site:linkedin.com/in "6 LORONG 42 GEYLANG" Singapore (manager OR management OR facilities OR "quantity surveyor" OR director)</v>
      </c>
      <c r="AC89" s="4" t="str">
        <v>site:linkedin.com "6 LORONG 42 GEYLANG" Singapore</v>
      </c>
      <c r="AD89" s="13" t="n">
        <v>46298</v>
      </c>
      <c r="AE89" s="11" t="str"/>
    </row>
    <row r="90" ht="50" customHeight="1">
      <c r="A90" s="4" t="str">
        <v>2597</v>
      </c>
      <c r="B90" s="4" t="str">
        <v>NA</v>
      </c>
      <c r="C90" s="4" t="str"/>
      <c r="D90" s="4" t="str">
        <v>No suitable lead found</v>
      </c>
      <c r="E90" s="4" t="str"/>
      <c r="F90" s="4" t="str"/>
      <c r="G90" s="4" t="str"/>
      <c r="H90" s="4" t="str"/>
      <c r="I90" s="4" t="str"/>
      <c r="J90" s="11" t="str"/>
      <c r="K90" s="4" t="str"/>
      <c r="L90" s="4" t="str"/>
      <c r="M90" s="4" t="str"/>
      <c r="N90" s="4" t="str"/>
      <c r="O90" s="11" t="str"/>
      <c r="P90" s="11" t="str"/>
      <c r="Q90" s="11" t="str"/>
      <c r="R90" s="12" t="n">
        <v>0</v>
      </c>
      <c r="S90" s="4" t="str"/>
      <c r="T90" s="4" t="str">
        <v>No published email found</v>
      </c>
      <c r="U90" s="4" t="str">
        <v>NA</v>
      </c>
      <c r="V90" s="4" t="str">
        <v>T01MC2597K</v>
      </c>
      <c r="W90" s="4" t="str">
        <v>36A TRURO ROAD </v>
      </c>
      <c r="X90" s="4" t="str">
        <v>45 MAXWELL ROAD 06-11 069118</v>
      </c>
      <c r="Y90" s="4" t="str">
        <v>NA</v>
      </c>
      <c r="Z90" s="4" t="str">
        <v>No usable phone or email found</v>
      </c>
      <c r="AA90" s="4" t="str">
        <v>No relevant professional relationship established from the property/MCST LinkedIn searches. This does not prove no contact exists.</v>
      </c>
      <c r="AB90" s="4" t="str">
        <v>site:linkedin.com/in "36A TRURO ROAD" Singapore (manager OR management OR facilities OR "quantity surveyor" OR director)</v>
      </c>
      <c r="AC90" s="4" t="str">
        <v>site:linkedin.com "36A TRURO ROAD" Singapore</v>
      </c>
      <c r="AD90" s="13" t="n">
        <v>46298</v>
      </c>
      <c r="AE90" s="11" t="str"/>
    </row>
    <row r="91" ht="50" customHeight="1">
      <c r="A91" s="4" t="str">
        <v>2700</v>
      </c>
      <c r="B91" s="4" t="str">
        <v>NA</v>
      </c>
      <c r="C91" s="4" t="str"/>
      <c r="D91" s="4" t="str">
        <v>No suitable lead found</v>
      </c>
      <c r="E91" s="4" t="str"/>
      <c r="F91" s="4" t="str"/>
      <c r="G91" s="4" t="str"/>
      <c r="H91" s="4" t="str"/>
      <c r="I91" s="4" t="str"/>
      <c r="J91" s="11" t="str"/>
      <c r="K91" s="4" t="str"/>
      <c r="L91" s="4" t="str"/>
      <c r="M91" s="4" t="str"/>
      <c r="N91" s="4" t="str"/>
      <c r="O91" s="11" t="str"/>
      <c r="P91" s="11" t="str"/>
      <c r="Q91" s="11" t="str"/>
      <c r="R91" s="12" t="n">
        <v>0</v>
      </c>
      <c r="S91" s="4" t="str"/>
      <c r="T91" s="4" t="str">
        <v>No published email found</v>
      </c>
      <c r="U91" s="4" t="str">
        <v>NA</v>
      </c>
      <c r="V91" s="4" t="str">
        <v>T02MC2700B</v>
      </c>
      <c r="W91" s="4" t="str">
        <v>172 JOO CHIAT PLACE 427890</v>
      </c>
      <c r="X91" s="4" t="str">
        <v>172 JOO CHIAT PLACE 427890</v>
      </c>
      <c r="Y91" s="4" t="str">
        <v>NA</v>
      </c>
      <c r="Z91" s="4" t="str">
        <v>No usable phone or email found</v>
      </c>
      <c r="AA91" s="4" t="str">
        <v>No relevant professional relationship established from the property/MCST LinkedIn searches. This does not prove no contact exists.</v>
      </c>
      <c r="AB91" s="4" t="str">
        <v>site:linkedin.com/in "172 JOO CHIAT PLACE" Singapore (manager OR management OR facilities OR "quantity surveyor" OR director)</v>
      </c>
      <c r="AC91" s="4" t="str">
        <v>site:linkedin.com "172 JOO CHIAT PLACE" Singapore</v>
      </c>
      <c r="AD91" s="13" t="n">
        <v>46298</v>
      </c>
      <c r="AE91" s="11" t="str"/>
    </row>
    <row r="92" ht="50" customHeight="1">
      <c r="A92" s="4" t="str">
        <v>3473</v>
      </c>
      <c r="B92" s="4" t="str">
        <v>NA</v>
      </c>
      <c r="C92" s="4" t="str"/>
      <c r="D92" s="4" t="str">
        <v>No suitable lead found</v>
      </c>
      <c r="E92" s="4" t="str"/>
      <c r="F92" s="4" t="str"/>
      <c r="G92" s="4" t="str"/>
      <c r="H92" s="4" t="str"/>
      <c r="I92" s="4" t="str"/>
      <c r="J92" s="11" t="str"/>
      <c r="K92" s="4" t="str"/>
      <c r="L92" s="4" t="str"/>
      <c r="M92" s="4" t="str"/>
      <c r="N92" s="4" t="str"/>
      <c r="O92" s="11" t="str"/>
      <c r="P92" s="11" t="str"/>
      <c r="Q92" s="11" t="str"/>
      <c r="R92" s="12" t="n">
        <v>0</v>
      </c>
      <c r="S92" s="4" t="str"/>
      <c r="T92" s="4" t="str">
        <v>No published email found</v>
      </c>
      <c r="U92" s="4" t="str">
        <v>NA</v>
      </c>
      <c r="V92" s="4" t="str">
        <v>T11MC0023B</v>
      </c>
      <c r="W92" s="4" t="str">
        <v>NA</v>
      </c>
      <c r="X92" s="4" t="str">
        <v>117 OWEN ROAD C/o Owen Private Limited 218923</v>
      </c>
      <c r="Y92" s="4" t="str">
        <v>NA</v>
      </c>
      <c r="Z92" s="4" t="str">
        <v>No usable phone or email found</v>
      </c>
      <c r="AA92" s="4" t="str">
        <v>No relevant professional relationship established from the property/MCST LinkedIn searches. This does not prove no contact exists.</v>
      </c>
      <c r="AB92" s="4" t="str">
        <v>site:linkedin.com/in "MCST 3473" Singapore (manager OR management OR facilities OR "quantity surveyor" OR director)</v>
      </c>
      <c r="AC92" s="4" t="str">
        <v>site:linkedin.com "MCST 3473" Singapore</v>
      </c>
      <c r="AD92" s="13" t="n">
        <v>46298</v>
      </c>
      <c r="AE92" s="11" t="str"/>
    </row>
    <row r="93" ht="50" customHeight="1">
      <c r="A93" s="4" t="str">
        <v>3618</v>
      </c>
      <c r="B93" s="4" t="str">
        <v>NA</v>
      </c>
      <c r="C93" s="4" t="str"/>
      <c r="D93" s="4" t="str">
        <v>No suitable lead found</v>
      </c>
      <c r="E93" s="4" t="str"/>
      <c r="F93" s="4" t="str"/>
      <c r="G93" s="4" t="str"/>
      <c r="H93" s="4" t="str"/>
      <c r="I93" s="4" t="str"/>
      <c r="J93" s="11" t="str"/>
      <c r="K93" s="4" t="str"/>
      <c r="L93" s="4" t="str"/>
      <c r="M93" s="4" t="str"/>
      <c r="N93" s="4" t="str"/>
      <c r="O93" s="11" t="str"/>
      <c r="P93" s="11" t="str"/>
      <c r="Q93" s="11" t="str"/>
      <c r="R93" s="12" t="n">
        <v>0</v>
      </c>
      <c r="S93" s="4" t="str"/>
      <c r="T93" s="4" t="str">
        <v>No published email found</v>
      </c>
      <c r="U93" s="4" t="str">
        <v>NA</v>
      </c>
      <c r="V93" s="4" t="str">
        <v>T11MC0055J</v>
      </c>
      <c r="W93" s="4" t="str">
        <v>NA</v>
      </c>
      <c r="X93" s="4" t="str">
        <v>51 TELOK AYER STREET CHINA SQUARE FOOD CENTRE 048441</v>
      </c>
      <c r="Y93" s="4" t="str">
        <v>NA</v>
      </c>
      <c r="Z93" s="4" t="str">
        <v>No usable phone or email found</v>
      </c>
      <c r="AA93" s="4" t="str">
        <v>No relevant professional relationship established from the property/MCST LinkedIn searches. This does not prove no contact exists.</v>
      </c>
      <c r="AB93" s="4" t="str">
        <v>site:linkedin.com/in "MCST 3618" Singapore (manager OR management OR facilities OR "quantity surveyor" OR director)</v>
      </c>
      <c r="AC93" s="4" t="str">
        <v>site:linkedin.com "MCST 3618" Singapore</v>
      </c>
      <c r="AD93" s="13" t="n">
        <v>46298</v>
      </c>
      <c r="AE93" s="11" t="str"/>
    </row>
    <row r="94" ht="50" customHeight="1">
      <c r="A94" s="4" t="str">
        <v>3732</v>
      </c>
      <c r="B94" s="4" t="str">
        <v>NA</v>
      </c>
      <c r="C94" s="4" t="str"/>
      <c r="D94" s="4" t="str">
        <v>No suitable lead found</v>
      </c>
      <c r="E94" s="4" t="str"/>
      <c r="F94" s="4" t="str"/>
      <c r="G94" s="4" t="str"/>
      <c r="H94" s="4" t="str"/>
      <c r="I94" s="4" t="str"/>
      <c r="J94" s="11" t="str"/>
      <c r="K94" s="4" t="str"/>
      <c r="L94" s="4" t="str"/>
      <c r="M94" s="4" t="str"/>
      <c r="N94" s="4" t="str"/>
      <c r="O94" s="11" t="str"/>
      <c r="P94" s="11" t="str"/>
      <c r="Q94" s="11" t="str"/>
      <c r="R94" s="12" t="n">
        <v>0</v>
      </c>
      <c r="S94" s="4" t="str"/>
      <c r="T94" s="4" t="str">
        <v>No published email found</v>
      </c>
      <c r="U94" s="4" t="str">
        <v>NA</v>
      </c>
      <c r="V94" s="4" t="str">
        <v>T11MC0093D</v>
      </c>
      <c r="W94" s="4" t="str">
        <v>NA</v>
      </c>
      <c r="X94" s="4" t="str">
        <v>20A PRINCESS OF WALES ROAD 266923</v>
      </c>
      <c r="Y94" s="4" t="str">
        <v>NA</v>
      </c>
      <c r="Z94" s="4" t="str">
        <v>No usable phone or email found</v>
      </c>
      <c r="AA94" s="4" t="str">
        <v>No relevant professional relationship established from the property/MCST LinkedIn searches. This does not prove no contact exists.</v>
      </c>
      <c r="AB94" s="4" t="str">
        <v>site:linkedin.com/in "MCST 3732" Singapore (manager OR management OR facilities OR "quantity surveyor" OR director)</v>
      </c>
      <c r="AC94" s="4" t="str">
        <v>site:linkedin.com "MCST 3732" Singapore</v>
      </c>
      <c r="AD94" s="13" t="n">
        <v>46298</v>
      </c>
      <c r="AE94" s="11" t="str"/>
    </row>
    <row r="95" ht="50" customHeight="1">
      <c r="A95" s="4" t="str">
        <v>4726</v>
      </c>
      <c r="B95" s="4" t="str">
        <v>NA</v>
      </c>
      <c r="C95" s="4" t="str"/>
      <c r="D95" s="4" t="str">
        <v>No suitable lead found</v>
      </c>
      <c r="E95" s="4" t="str"/>
      <c r="F95" s="4" t="str"/>
      <c r="G95" s="4" t="str"/>
      <c r="H95" s="4" t="str"/>
      <c r="I95" s="4" t="str"/>
      <c r="J95" s="11" t="str"/>
      <c r="K95" s="4" t="str"/>
      <c r="L95" s="4" t="str"/>
      <c r="M95" s="4" t="str"/>
      <c r="N95" s="4" t="str"/>
      <c r="O95" s="11" t="str"/>
      <c r="P95" s="11" t="str"/>
      <c r="Q95" s="11" t="str"/>
      <c r="R95" s="12" t="n">
        <v>0</v>
      </c>
      <c r="S95" s="4" t="str"/>
      <c r="T95" s="4" t="str">
        <v>No published email found</v>
      </c>
      <c r="U95" s="4" t="str">
        <v>NA</v>
      </c>
      <c r="V95" s="4" t="str">
        <v>T20MC0005D</v>
      </c>
      <c r="W95" s="4" t="str">
        <v>NA</v>
      </c>
      <c r="X95" s="4" t="str">
        <v>5/5A-C YONG SIAK STREET 168643</v>
      </c>
      <c r="Y95" s="4" t="str">
        <v>NA</v>
      </c>
      <c r="Z95" s="4" t="str">
        <v>No usable phone or email found</v>
      </c>
      <c r="AA95" s="4" t="str">
        <v>No relevant professional relationship established from the property/MCST LinkedIn searches. This does not prove no contact exists.</v>
      </c>
      <c r="AB95" s="4" t="str">
        <v>site:linkedin.com/in "MCST 4726" Singapore (manager OR management OR facilities OR "quantity surveyor" OR director)</v>
      </c>
      <c r="AC95" s="4" t="str">
        <v>site:linkedin.com "MCST 4726" Singapore</v>
      </c>
      <c r="AD95" s="13" t="n">
        <v>46298</v>
      </c>
      <c r="AE95" s="11" t="str"/>
    </row>
    <row r="96" ht="50" customHeight="1">
      <c r="A96" s="4" t="str">
        <v>4785</v>
      </c>
      <c r="B96" s="4" t="str">
        <v>NA</v>
      </c>
      <c r="C96" s="4" t="str"/>
      <c r="D96" s="4" t="str">
        <v>No suitable lead found</v>
      </c>
      <c r="E96" s="4" t="str"/>
      <c r="F96" s="4" t="str"/>
      <c r="G96" s="4" t="str"/>
      <c r="H96" s="4" t="str"/>
      <c r="I96" s="4" t="str"/>
      <c r="J96" s="11" t="str"/>
      <c r="K96" s="4" t="str"/>
      <c r="L96" s="4" t="str"/>
      <c r="M96" s="4" t="str"/>
      <c r="N96" s="4" t="str"/>
      <c r="O96" s="11" t="str"/>
      <c r="P96" s="11" t="str"/>
      <c r="Q96" s="11" t="str"/>
      <c r="R96" s="12" t="n">
        <v>0</v>
      </c>
      <c r="S96" s="4" t="str"/>
      <c r="T96" s="4" t="str">
        <v>No published email found</v>
      </c>
      <c r="U96" s="4" t="str">
        <v>NA</v>
      </c>
      <c r="V96" s="4" t="str">
        <v>T24MC0021F</v>
      </c>
      <c r="W96" s="4" t="str">
        <v>NA</v>
      </c>
      <c r="X96" s="4" t="str">
        <v>9 TEMASEK BOULEVARD 35-02 Suntec Tower 2 038989</v>
      </c>
      <c r="Y96" s="4" t="str">
        <v>NA</v>
      </c>
      <c r="Z96" s="4" t="str">
        <v>No usable phone or email found</v>
      </c>
      <c r="AA96" s="4" t="str">
        <v>No relevant professional relationship established from the property/MCST LinkedIn searches. This does not prove no contact exists.</v>
      </c>
      <c r="AB96" s="4" t="str">
        <v>site:linkedin.com/in "MCST 4785" Singapore (manager OR management OR facilities OR "quantity surveyor" OR director)</v>
      </c>
      <c r="AC96" s="4" t="str">
        <v>site:linkedin.com "MCST 4785" Singapore</v>
      </c>
      <c r="AD96" s="13" t="n">
        <v>46298</v>
      </c>
      <c r="AE96" s="11" t="str"/>
    </row>
    <row r="97" ht="50" customHeight="1">
      <c r="A97" s="4" t="str">
        <v>3060</v>
      </c>
      <c r="B97" s="4" t="str">
        <v>NASSIM VILLE</v>
      </c>
      <c r="C97" s="4" t="str"/>
      <c r="D97" s="4" t="str">
        <v>No suitable lead found</v>
      </c>
      <c r="E97" s="4" t="str"/>
      <c r="F97" s="4" t="str"/>
      <c r="G97" s="4" t="str"/>
      <c r="H97" s="4" t="str"/>
      <c r="I97" s="4" t="str"/>
      <c r="J97" s="11" t="str"/>
      <c r="K97" s="4" t="str"/>
      <c r="L97" s="4" t="str"/>
      <c r="M97" s="4" t="str"/>
      <c r="N97" s="4" t="str"/>
      <c r="O97" s="11" t="str"/>
      <c r="P97" s="11" t="str"/>
      <c r="Q97" s="11" t="str"/>
      <c r="R97" s="12" t="n">
        <v>0</v>
      </c>
      <c r="S97" s="4" t="str"/>
      <c r="T97" s="4" t="str">
        <v>No published email found</v>
      </c>
      <c r="U97" s="4" t="str">
        <v>NA</v>
      </c>
      <c r="V97" s="4" t="str">
        <v>T21MC0022J</v>
      </c>
      <c r="W97" s="4" t="str">
        <v>NA</v>
      </c>
      <c r="X97" s="4" t="str">
        <v>13 NORTH CANAL ROAD 03-01 Aw &amp; Sons Pte Ltd 048826</v>
      </c>
      <c r="Y97" s="4" t="str">
        <v>NA</v>
      </c>
      <c r="Z97" s="4" t="str">
        <v>No usable phone or email found</v>
      </c>
      <c r="AA97" s="4" t="str">
        <v>No Singapore Nassim Ville management or project professional established.</v>
      </c>
      <c r="AB97" s="4" t="str">
        <v>site:linkedin.com/in "NASSIM VILLE" Singapore (manager OR management OR facilities OR "quantity surveyor" OR director)</v>
      </c>
      <c r="AC97" s="4" t="str">
        <v>site:linkedin.com "NASSIM VILLE" Singapore</v>
      </c>
      <c r="AD97" s="13" t="n">
        <v>46298</v>
      </c>
      <c r="AE97" s="11" t="str"/>
    </row>
    <row r="98" ht="50" customHeight="1">
      <c r="A98" s="4" t="str">
        <v>2142</v>
      </c>
      <c r="B98" s="4" t="str">
        <v>NULL</v>
      </c>
      <c r="C98" s="4" t="str"/>
      <c r="D98" s="4" t="str">
        <v>No suitable lead found</v>
      </c>
      <c r="E98" s="4" t="str"/>
      <c r="F98" s="4" t="str"/>
      <c r="G98" s="4" t="str"/>
      <c r="H98" s="4" t="str"/>
      <c r="I98" s="4" t="str"/>
      <c r="J98" s="11" t="str"/>
      <c r="K98" s="4" t="str"/>
      <c r="L98" s="4" t="str"/>
      <c r="M98" s="4" t="str"/>
      <c r="N98" s="4" t="str"/>
      <c r="O98" s="11" t="str"/>
      <c r="P98" s="11" t="str"/>
      <c r="Q98" s="11" t="str"/>
      <c r="R98" s="12" t="n">
        <v>0</v>
      </c>
      <c r="S98" s="4" t="str"/>
      <c r="T98" s="4" t="str">
        <v>No published email found</v>
      </c>
      <c r="U98" s="4" t="str">
        <v>NA</v>
      </c>
      <c r="V98" s="4" t="str">
        <v>S97MC2142F</v>
      </c>
      <c r="W98" s="4" t="str">
        <v>7 ANN SIANG HILL 60791</v>
      </c>
      <c r="X98" s="4" t="str">
        <v>7 ANN SIANG HILL 69791</v>
      </c>
      <c r="Y98" s="4" t="str">
        <v>NA</v>
      </c>
      <c r="Z98" s="4" t="str">
        <v>No usable phone or email found</v>
      </c>
      <c r="AA98" s="4" t="str">
        <v>Address matches concerned tenant businesses; no management relationship established.</v>
      </c>
      <c r="AB98" s="4" t="str">
        <v>site:linkedin.com/in "7 ANN SIANG HILL" Singapore (manager OR management OR facilities OR "quantity surveyor" OR director)</v>
      </c>
      <c r="AC98" s="4" t="str">
        <v>site:linkedin.com "7 ANN SIANG HILL" Singapore</v>
      </c>
      <c r="AD98" s="13" t="n">
        <v>46298</v>
      </c>
      <c r="AE98" s="11" t="str"/>
    </row>
    <row r="99" ht="50" customHeight="1">
      <c r="A99" s="4" t="str">
        <v>2685</v>
      </c>
      <c r="B99" s="4" t="str">
        <v>ORCHARD POINT</v>
      </c>
      <c r="C99" s="4" t="str"/>
      <c r="D99" s="4" t="str">
        <v>No suitable lead found</v>
      </c>
      <c r="E99" s="4" t="str"/>
      <c r="F99" s="4" t="str"/>
      <c r="G99" s="4" t="str"/>
      <c r="H99" s="4" t="str"/>
      <c r="I99" s="4" t="str"/>
      <c r="J99" s="11" t="str"/>
      <c r="K99" s="4" t="str"/>
      <c r="L99" s="4" t="str"/>
      <c r="M99" s="4" t="str"/>
      <c r="N99" s="4" t="str"/>
      <c r="O99" s="11" t="str"/>
      <c r="P99" s="11" t="str"/>
      <c r="Q99" s="11" t="str"/>
      <c r="R99" s="12" t="n">
        <v>0</v>
      </c>
      <c r="S99" s="4" t="str"/>
      <c r="T99" s="4" t="str">
        <v>No published email found</v>
      </c>
      <c r="U99" s="4" t="str">
        <v>NA</v>
      </c>
      <c r="V99" s="4" t="str">
        <v>T02MC2685J</v>
      </c>
      <c r="W99" s="4" t="str">
        <v>160 ORCHARD ROAD 238842</v>
      </c>
      <c r="X99" s="4" t="str">
        <v>60 ALBERT STREET 04-01 OG ALBERT COMPLEX 189969</v>
      </c>
      <c r="Y99" s="4" t="str">
        <v>NA</v>
      </c>
      <c r="Z99" s="4" t="str">
        <v>No usable phone or email found</v>
      </c>
      <c r="AA99" s="4" t="str">
        <v>Matches concerned tenants, coworking operations, news or reposts. No whole-building management contact established.</v>
      </c>
      <c r="AB99" s="4" t="str">
        <v>site:linkedin.com/in "ORCHARD POINT" Singapore (manager OR management OR facilities OR "quantity surveyor" OR director)</v>
      </c>
      <c r="AC99" s="4" t="str">
        <v>site:linkedin.com "ORCHARD POINT" Singapore</v>
      </c>
      <c r="AD99" s="13" t="n">
        <v>46298</v>
      </c>
      <c r="AE99" s="11" t="str"/>
    </row>
    <row r="100" ht="50" customHeight="1">
      <c r="A100" s="4" t="str">
        <v>4962</v>
      </c>
      <c r="B100" s="4" t="str">
        <v>ROYAL HALLMARK</v>
      </c>
      <c r="C100" s="4" t="str"/>
      <c r="D100" s="4" t="str">
        <v>No suitable lead found</v>
      </c>
      <c r="E100" s="4" t="str"/>
      <c r="F100" s="4" t="str"/>
      <c r="G100" s="4" t="str"/>
      <c r="H100" s="4" t="str"/>
      <c r="I100" s="4" t="str"/>
      <c r="J100" s="11" t="str"/>
      <c r="K100" s="4" t="str"/>
      <c r="L100" s="4" t="str"/>
      <c r="M100" s="4" t="str"/>
      <c r="N100" s="4" t="str"/>
      <c r="O100" s="11" t="str"/>
      <c r="P100" s="11" t="str"/>
      <c r="Q100" s="11" t="str"/>
      <c r="R100" s="12" t="n">
        <v>0</v>
      </c>
      <c r="S100" s="4" t="str"/>
      <c r="T100" s="4" t="str">
        <v>No published email found</v>
      </c>
      <c r="U100" s="4" t="str">
        <v>NA</v>
      </c>
      <c r="V100" s="4" t="str">
        <v>T25MC0039F</v>
      </c>
      <c r="W100" s="4" t="str">
        <v>NA</v>
      </c>
      <c r="X100" s="4" t="str">
        <v>130 JOO SENG ROAD 07-05 368357</v>
      </c>
      <c r="Y100" s="4" t="str">
        <v>NA</v>
      </c>
      <c r="Z100" s="4" t="str">
        <v>No usable phone or email found</v>
      </c>
      <c r="AA100" s="4" t="str">
        <v>Sales and social posts did not establish a suitable management or technical contact.</v>
      </c>
      <c r="AB100" s="4" t="str">
        <v>site:linkedin.com/in "ROYAL HALLMARK" Singapore (manager OR management OR facilities OR "quantity surveyor" OR director)</v>
      </c>
      <c r="AC100" s="4" t="str">
        <v>site:linkedin.com "ROYAL HALLMARK" Singapore</v>
      </c>
      <c r="AD100" s="13" t="n">
        <v>46298</v>
      </c>
      <c r="AE100" s="11" t="str"/>
    </row>
    <row r="101" ht="50" customHeight="1">
      <c r="A101" s="4" t="str">
        <v>3789</v>
      </c>
      <c r="B101" s="4" t="str">
        <v>SOPHIA 77</v>
      </c>
      <c r="C101" s="4" t="str"/>
      <c r="D101" s="4" t="str">
        <v>No suitable lead found</v>
      </c>
      <c r="E101" s="4" t="str"/>
      <c r="F101" s="4" t="str"/>
      <c r="G101" s="4" t="str"/>
      <c r="H101" s="4" t="str"/>
      <c r="I101" s="4" t="str"/>
      <c r="J101" s="11" t="str"/>
      <c r="K101" s="4" t="str"/>
      <c r="L101" s="4" t="str"/>
      <c r="M101" s="4" t="str"/>
      <c r="N101" s="4" t="str"/>
      <c r="O101" s="11" t="str"/>
      <c r="P101" s="11" t="str"/>
      <c r="Q101" s="11" t="str"/>
      <c r="R101" s="12" t="n">
        <v>0</v>
      </c>
      <c r="S101" s="4" t="str"/>
      <c r="T101" s="4" t="str">
        <v>No published email found</v>
      </c>
      <c r="U101" s="4" t="str">
        <v>NA</v>
      </c>
      <c r="V101" s="4" t="str">
        <v>T12MC0012F</v>
      </c>
      <c r="W101" s="4" t="str">
        <v>77 SOPHIA ROAD 228157</v>
      </c>
      <c r="X101" s="4" t="str">
        <v>15 TAN BOON CHONG AVENUE 276324</v>
      </c>
      <c r="Y101" s="4" t="str">
        <v>NA</v>
      </c>
      <c r="Z101" s="4" t="str">
        <v>No usable phone or email found</v>
      </c>
      <c r="AA101" s="4" t="str">
        <v>No relevant professional relationship established from the property/MCST LinkedIn searches. This does not prove no contact exists.</v>
      </c>
      <c r="AB101" s="4" t="str">
        <v>site:linkedin.com/in "SOPHIA 77" Singapore (manager OR management OR facilities OR "quantity surveyor" OR director)</v>
      </c>
      <c r="AC101" s="4" t="str">
        <v>site:linkedin.com "SOPHIA 77" Singapore</v>
      </c>
      <c r="AD101" s="13" t="n">
        <v>46298</v>
      </c>
      <c r="AE101" s="11" t="str"/>
    </row>
    <row r="102" ht="50" customHeight="1">
      <c r="A102" s="4" t="str">
        <v>4919</v>
      </c>
      <c r="B102" s="4" t="str">
        <v>SPACE 21</v>
      </c>
      <c r="C102" s="4" t="str"/>
      <c r="D102" s="4" t="str">
        <v>No suitable lead found</v>
      </c>
      <c r="E102" s="4" t="str"/>
      <c r="F102" s="4" t="str"/>
      <c r="G102" s="4" t="str"/>
      <c r="H102" s="4" t="str"/>
      <c r="I102" s="4" t="str"/>
      <c r="J102" s="11" t="str"/>
      <c r="K102" s="4" t="str"/>
      <c r="L102" s="4" t="str"/>
      <c r="M102" s="4" t="str"/>
      <c r="N102" s="4" t="str"/>
      <c r="O102" s="11" t="str"/>
      <c r="P102" s="11" t="str"/>
      <c r="Q102" s="11" t="str"/>
      <c r="R102" s="12" t="n">
        <v>0</v>
      </c>
      <c r="S102" s="4" t="str"/>
      <c r="T102" s="4" t="str">
        <v>No published email found</v>
      </c>
      <c r="U102" s="4" t="str">
        <v>NA</v>
      </c>
      <c r="V102" s="4" t="str">
        <v>T24MC0052F</v>
      </c>
      <c r="W102" s="4" t="str">
        <v>NA</v>
      </c>
      <c r="X102" s="4" t="str">
        <v>51 LORONG 21 GEYLANG 388466</v>
      </c>
      <c r="Y102" s="4" t="str">
        <v>NA</v>
      </c>
      <c r="Z102" s="4" t="str">
        <v>No usable phone or email found</v>
      </c>
      <c r="AA102" s="4" t="str">
        <v>Tenant and unrelated Space 21 references did not establish a project or management link.</v>
      </c>
      <c r="AB102" s="4" t="str">
        <v>site:linkedin.com/in "SPACE 21" Singapore (manager OR management OR facilities OR "quantity surveyor" OR director)</v>
      </c>
      <c r="AC102" s="4" t="str">
        <v>site:linkedin.com "SPACE 21" Singapore</v>
      </c>
      <c r="AD102" s="13" t="n">
        <v>46298</v>
      </c>
      <c r="AE102" s="11" t="str"/>
    </row>
    <row r="103" ht="50" customHeight="1">
      <c r="A103" s="4" t="str">
        <v>4376</v>
      </c>
      <c r="B103" s="4" t="str">
        <v>SUNSTONE RESIDENCES </v>
      </c>
      <c r="C103" s="4" t="str"/>
      <c r="D103" s="4" t="str">
        <v>No suitable lead found</v>
      </c>
      <c r="E103" s="4" t="str"/>
      <c r="F103" s="4" t="str"/>
      <c r="G103" s="4" t="str"/>
      <c r="H103" s="4" t="str"/>
      <c r="I103" s="4" t="str"/>
      <c r="J103" s="11" t="str"/>
      <c r="K103" s="4" t="str"/>
      <c r="L103" s="4" t="str"/>
      <c r="M103" s="4" t="str"/>
      <c r="N103" s="4" t="str"/>
      <c r="O103" s="11" t="str"/>
      <c r="P103" s="11" t="str"/>
      <c r="Q103" s="11" t="str"/>
      <c r="R103" s="12" t="n">
        <v>0</v>
      </c>
      <c r="S103" s="4" t="str"/>
      <c r="T103" s="4" t="str">
        <v>No published email found</v>
      </c>
      <c r="U103" s="4" t="str">
        <v>NA</v>
      </c>
      <c r="V103" s="4" t="str">
        <v>T16MC0049B</v>
      </c>
      <c r="W103" s="4" t="str">
        <v>51 JALAN DAUD 419589</v>
      </c>
      <c r="X103" s="4" t="str">
        <v>33 SENANG CRESCENT 416604</v>
      </c>
      <c r="Y103" s="4" t="str">
        <v>NA</v>
      </c>
      <c r="Z103" s="4" t="str">
        <v>No usable phone or email found</v>
      </c>
      <c r="AA103" s="4" t="str">
        <v>No suitable Singapore property or project professional established.</v>
      </c>
      <c r="AB103" s="4" t="str">
        <v>site:linkedin.com/in "SUNSTONE RESIDENCES" Singapore (manager OR management OR facilities OR "quantity surveyor" OR director)</v>
      </c>
      <c r="AC103" s="4" t="str">
        <v>site:linkedin.com "SUNSTONE RESIDENCES" Singapore</v>
      </c>
      <c r="AD103" s="13" t="n">
        <v>46298</v>
      </c>
      <c r="AE103" s="11" t="str"/>
    </row>
    <row r="104" ht="50" customHeight="1">
      <c r="A104" s="4" t="str">
        <v>3058</v>
      </c>
      <c r="B104" s="4" t="str">
        <v>TG BUILDING</v>
      </c>
      <c r="C104" s="4" t="str"/>
      <c r="D104" s="4" t="str">
        <v>No suitable lead found</v>
      </c>
      <c r="E104" s="4" t="str"/>
      <c r="F104" s="4" t="str"/>
      <c r="G104" s="4" t="str"/>
      <c r="H104" s="4" t="str"/>
      <c r="I104" s="4" t="str"/>
      <c r="J104" s="11" t="str"/>
      <c r="K104" s="4" t="str"/>
      <c r="L104" s="4" t="str"/>
      <c r="M104" s="4" t="str"/>
      <c r="N104" s="4" t="str"/>
      <c r="O104" s="11" t="str"/>
      <c r="P104" s="11" t="str"/>
      <c r="Q104" s="11" t="str"/>
      <c r="R104" s="12" t="n">
        <v>0</v>
      </c>
      <c r="S104" s="4" t="str"/>
      <c r="T104" s="4" t="str">
        <v>No published email found</v>
      </c>
      <c r="U104" s="4" t="str">
        <v>NA</v>
      </c>
      <c r="V104" s="4" t="str">
        <v>T13MC0070E</v>
      </c>
      <c r="W104" s="4" t="str">
        <v>NA</v>
      </c>
      <c r="X104" s="4" t="str">
        <v>81 TAGORE LANE 01-21 TAG A 787502</v>
      </c>
      <c r="Y104" s="4" t="str">
        <v>NA</v>
      </c>
      <c r="Z104" s="4" t="str">
        <v>No usable phone or email found</v>
      </c>
      <c r="AA104" s="4" t="str">
        <v>Searches confused the property name with construction-company names and overseas buildings.</v>
      </c>
      <c r="AB104" s="4" t="str">
        <v>site:linkedin.com/in "TG BUILDING" Singapore (manager OR management OR facilities OR "quantity surveyor" OR director)</v>
      </c>
      <c r="AC104" s="4" t="str">
        <v>site:linkedin.com "TG BUILDING" Singapore</v>
      </c>
      <c r="AD104" s="13" t="n">
        <v>46298</v>
      </c>
      <c r="AE104" s="11" t="str"/>
    </row>
    <row r="105" ht="50" customHeight="1">
      <c r="A105" s="4" t="str">
        <v>3979</v>
      </c>
      <c r="B105" s="4" t="str">
        <v>THE AMERALD STUDIO</v>
      </c>
      <c r="C105" s="4" t="str"/>
      <c r="D105" s="4" t="str">
        <v>No suitable lead found</v>
      </c>
      <c r="E105" s="4" t="str"/>
      <c r="F105" s="4" t="str"/>
      <c r="G105" s="4" t="str"/>
      <c r="H105" s="4" t="str"/>
      <c r="I105" s="4" t="str"/>
      <c r="J105" s="11" t="str"/>
      <c r="K105" s="4" t="str"/>
      <c r="L105" s="4" t="str"/>
      <c r="M105" s="4" t="str"/>
      <c r="N105" s="4" t="str"/>
      <c r="O105" s="11" t="str"/>
      <c r="P105" s="11" t="str"/>
      <c r="Q105" s="11" t="str"/>
      <c r="R105" s="12" t="n">
        <v>0</v>
      </c>
      <c r="S105" s="4" t="str"/>
      <c r="T105" s="4" t="str">
        <v>No published email found</v>
      </c>
      <c r="U105" s="4" t="str">
        <v>NA</v>
      </c>
      <c r="V105" s="4" t="str">
        <v>T13MC0095F</v>
      </c>
      <c r="W105" s="4" t="str">
        <v>1 SERAYA LANE 437297</v>
      </c>
      <c r="X105" s="4" t="str">
        <v>67 CRESCENT ROAD 439356</v>
      </c>
      <c r="Y105" s="4" t="str">
        <v>NA</v>
      </c>
      <c r="Z105" s="4" t="str">
        <v>No usable phone or email found</v>
      </c>
      <c r="AA105" s="4" t="str">
        <v>Sales posts found, but no suitable management or technical contact established.</v>
      </c>
      <c r="AB105" s="4" t="str">
        <v>site:linkedin.com/in "THE AMERALD STUDIO" Singapore (manager OR management OR facilities OR "quantity surveyor" OR director)</v>
      </c>
      <c r="AC105" s="4" t="str">
        <v>site:linkedin.com "THE AMERALD STUDIO" Singapore</v>
      </c>
      <c r="AD105" s="13" t="n">
        <v>46298</v>
      </c>
      <c r="AE105" s="11" t="str"/>
    </row>
    <row r="106" ht="50" customHeight="1">
      <c r="A106" s="4" t="str">
        <v>4506</v>
      </c>
      <c r="B106" s="4" t="str">
        <v>THE BROOKS I</v>
      </c>
      <c r="C106" s="4" t="str"/>
      <c r="D106" s="4" t="str">
        <v>No suitable lead found</v>
      </c>
      <c r="E106" s="4" t="str"/>
      <c r="F106" s="4" t="str"/>
      <c r="G106" s="4" t="str"/>
      <c r="H106" s="4" t="str"/>
      <c r="I106" s="4" t="str"/>
      <c r="J106" s="11" t="str"/>
      <c r="K106" s="4" t="str"/>
      <c r="L106" s="4" t="str"/>
      <c r="M106" s="4" t="str"/>
      <c r="N106" s="4" t="str"/>
      <c r="O106" s="11" t="str"/>
      <c r="P106" s="11" t="str"/>
      <c r="Q106" s="11" t="str"/>
      <c r="R106" s="12" t="n">
        <v>0</v>
      </c>
      <c r="S106" s="4" t="str"/>
      <c r="T106" s="4" t="str">
        <v>No published email found</v>
      </c>
      <c r="U106" s="4" t="str">
        <v>NA</v>
      </c>
      <c r="V106" s="4" t="str">
        <v>T17MC0079L</v>
      </c>
      <c r="W106" s="4" t="str">
        <v>60 SPRINGSIDE WALK 786020</v>
      </c>
      <c r="X106" s="4" t="str">
        <v>60 SPRINGSIDE WALK 01-20 THE BROOKS I  786020</v>
      </c>
      <c r="Y106" s="4" t="str">
        <v>NA</v>
      </c>
      <c r="Z106" s="4" t="str">
        <v>No usable phone or email found</v>
      </c>
      <c r="AA106" s="4" t="str">
        <v>Results did not establish a Singapore development-management or project relationship.</v>
      </c>
      <c r="AB106" s="4" t="str">
        <v>site:linkedin.com/in "THE BROOKS I" Singapore (manager OR management OR facilities OR "quantity surveyor" OR director)</v>
      </c>
      <c r="AC106" s="4" t="str">
        <v>site:linkedin.com "THE BROOKS I" Singapore</v>
      </c>
      <c r="AD106" s="13" t="n">
        <v>46298</v>
      </c>
      <c r="AE106" s="11" t="str"/>
    </row>
    <row r="107" ht="50" customHeight="1">
      <c r="A107" s="4" t="str">
        <v>4941</v>
      </c>
      <c r="B107" s="4" t="str">
        <v>THE GATZ</v>
      </c>
      <c r="C107" s="4" t="str"/>
      <c r="D107" s="4" t="str">
        <v>No suitable lead found</v>
      </c>
      <c r="E107" s="4" t="str"/>
      <c r="F107" s="4" t="str"/>
      <c r="G107" s="4" t="str"/>
      <c r="H107" s="4" t="str"/>
      <c r="I107" s="4" t="str"/>
      <c r="J107" s="11" t="str"/>
      <c r="K107" s="4" t="str"/>
      <c r="L107" s="4" t="str"/>
      <c r="M107" s="4" t="str"/>
      <c r="N107" s="4" t="str"/>
      <c r="O107" s="11" t="str"/>
      <c r="P107" s="11" t="str"/>
      <c r="Q107" s="11" t="str"/>
      <c r="R107" s="12" t="n">
        <v>0</v>
      </c>
      <c r="S107" s="4" t="str"/>
      <c r="T107" s="4" t="str">
        <v>No published email found</v>
      </c>
      <c r="U107" s="4" t="str">
        <v>NA</v>
      </c>
      <c r="V107" s="4" t="str">
        <v>T25MC0005G</v>
      </c>
      <c r="W107" s="4" t="str">
        <v>NA</v>
      </c>
      <c r="X107" s="4" t="str">
        <v>25 SELETAR NORTH LINK 02-01 HUUSO REALTY PTE LTD 797601</v>
      </c>
      <c r="Y107" s="4" t="str">
        <v>NA</v>
      </c>
      <c r="Z107" s="4" t="str">
        <v>No usable phone or email found</v>
      </c>
      <c r="AA107" s="4" t="str">
        <v>No suitable Huuso Realty or The Gatz property professional established.</v>
      </c>
      <c r="AB107" s="4" t="str">
        <v>site:linkedin.com/in "THE GATZ" Singapore (manager OR management OR facilities OR "quantity surveyor" OR director)</v>
      </c>
      <c r="AC107" s="4" t="str">
        <v>site:linkedin.com "THE GATZ" Singapore</v>
      </c>
      <c r="AD107" s="13" t="n">
        <v>46298</v>
      </c>
      <c r="AE107" s="11" t="str"/>
    </row>
    <row r="108" ht="50" customHeight="1">
      <c r="A108" s="4" t="str">
        <v>4885</v>
      </c>
      <c r="B108" s="4" t="str">
        <v>THE MANAGEMENT CORPORATION STRATA TITLE PLAN NO 4885</v>
      </c>
      <c r="C108" s="4" t="str"/>
      <c r="D108" s="4" t="str">
        <v>No suitable lead found</v>
      </c>
      <c r="E108" s="4" t="str"/>
      <c r="F108" s="4" t="str"/>
      <c r="G108" s="4" t="str"/>
      <c r="H108" s="4" t="str"/>
      <c r="I108" s="4" t="str"/>
      <c r="J108" s="11" t="str"/>
      <c r="K108" s="4" t="str"/>
      <c r="L108" s="4" t="str"/>
      <c r="M108" s="4" t="str"/>
      <c r="N108" s="4" t="str"/>
      <c r="O108" s="11" t="str"/>
      <c r="P108" s="11" t="str"/>
      <c r="Q108" s="11" t="str"/>
      <c r="R108" s="12" t="n">
        <v>0</v>
      </c>
      <c r="S108" s="4" t="str"/>
      <c r="T108" s="4" t="str">
        <v>No published email found</v>
      </c>
      <c r="U108" s="4" t="str">
        <v>NA</v>
      </c>
      <c r="V108" s="4" t="str">
        <v>T24MC0040J</v>
      </c>
      <c r="W108" s="4" t="str">
        <v>26 STEVENS ROAD 258891</v>
      </c>
      <c r="X108" s="4" t="str">
        <v>30 STEVENS ROAD 01- 257840</v>
      </c>
      <c r="Y108" s="4" t="str">
        <v>NA</v>
      </c>
      <c r="Z108" s="4" t="str">
        <v>No usable phone or email found</v>
      </c>
      <c r="AA108" s="4" t="str">
        <v>No professional established for the MCST at the Stevens Road addresses.</v>
      </c>
      <c r="AB108" s="4" t="str">
        <v>site:linkedin.com/in "26 STEVENS ROAD" Singapore (manager OR management OR facilities OR "quantity surveyor" OR director)</v>
      </c>
      <c r="AC108" s="4" t="str">
        <v>site:linkedin.com "26 STEVENS ROAD" Singapore</v>
      </c>
      <c r="AD108" s="13" t="n">
        <v>46298</v>
      </c>
      <c r="AE108" s="11" t="str"/>
    </row>
    <row r="109" ht="50" customHeight="1">
      <c r="A109" s="4" t="str">
        <v>02-4885</v>
      </c>
      <c r="B109" s="4" t="str">
        <v>THE MANAGEMENT CORPORATION STRATA TITLE PLAN NO SUB02-4885</v>
      </c>
      <c r="C109" s="4" t="str"/>
      <c r="D109" s="4" t="str">
        <v>No suitable lead found</v>
      </c>
      <c r="E109" s="4" t="str"/>
      <c r="F109" s="4" t="str"/>
      <c r="G109" s="4" t="str"/>
      <c r="H109" s="4" t="str"/>
      <c r="I109" s="4" t="str"/>
      <c r="J109" s="11" t="str"/>
      <c r="K109" s="4" t="str"/>
      <c r="L109" s="4" t="str"/>
      <c r="M109" s="4" t="str"/>
      <c r="N109" s="4" t="str"/>
      <c r="O109" s="11" t="str"/>
      <c r="P109" s="11" t="str"/>
      <c r="Q109" s="11" t="str"/>
      <c r="R109" s="12" t="n">
        <v>0</v>
      </c>
      <c r="S109" s="4" t="str"/>
      <c r="T109" s="4" t="str">
        <v>No published email found</v>
      </c>
      <c r="U109" s="4" t="str">
        <v>02-4885</v>
      </c>
      <c r="V109" s="4" t="str">
        <v>T24SM0009C</v>
      </c>
      <c r="W109" s="4" t="str">
        <v>32 STEVENS ROAD 258892</v>
      </c>
      <c r="X109" s="4" t="str">
        <v>30 STEVENS ROAD B1-01A 257840</v>
      </c>
      <c r="Y109" s="4" t="str">
        <v>NA</v>
      </c>
      <c r="Z109" s="4" t="str">
        <v>No usable phone or email found</v>
      </c>
      <c r="AA109" s="4" t="str">
        <v>Address appeared as an event venue. Event organisers were not established as MCST or facility managers.</v>
      </c>
      <c r="AB109" s="4" t="str">
        <v>site:linkedin.com/in "32 STEVENS ROAD" Singapore (manager OR management OR facilities OR "quantity surveyor" OR director)</v>
      </c>
      <c r="AC109" s="4" t="str">
        <v>site:linkedin.com "32 STEVENS ROAD" Singapore</v>
      </c>
      <c r="AD109" s="13" t="n">
        <v>46298</v>
      </c>
      <c r="AE109" s="11" t="str"/>
    </row>
    <row r="110" ht="50" customHeight="1">
      <c r="A110" s="4" t="str">
        <v>4753</v>
      </c>
      <c r="B110" s="4" t="str">
        <v>THE MANAGEMENT CORPORATION STRATA TITLE PLAN NO. 4753</v>
      </c>
      <c r="C110" s="4" t="str"/>
      <c r="D110" s="4" t="str">
        <v>No suitable lead found</v>
      </c>
      <c r="E110" s="4" t="str"/>
      <c r="F110" s="4" t="str"/>
      <c r="G110" s="4" t="str"/>
      <c r="H110" s="4" t="str"/>
      <c r="I110" s="4" t="str"/>
      <c r="J110" s="11" t="str"/>
      <c r="K110" s="4" t="str"/>
      <c r="L110" s="4" t="str"/>
      <c r="M110" s="4" t="str"/>
      <c r="N110" s="4" t="str"/>
      <c r="O110" s="11" t="str"/>
      <c r="P110" s="11" t="str"/>
      <c r="Q110" s="11" t="str"/>
      <c r="R110" s="12" t="n">
        <v>0</v>
      </c>
      <c r="S110" s="4" t="str"/>
      <c r="T110" s="4" t="str">
        <v>No published email found</v>
      </c>
      <c r="U110" s="4" t="str">
        <v>NA</v>
      </c>
      <c r="V110" s="4" t="str">
        <v>T20MC0027F</v>
      </c>
      <c r="W110" s="4" t="str">
        <v>NA</v>
      </c>
      <c r="X110" s="4" t="str">
        <v>303 CHANGI SOUTH STREET 1 04-01 486795</v>
      </c>
      <c r="Y110" s="4" t="str">
        <v>NA</v>
      </c>
      <c r="Z110" s="4" t="str">
        <v>No usable phone or email found</v>
      </c>
      <c r="AA110" s="4" t="str">
        <v>No relevant professional relationship established from the property/MCST LinkedIn searches. This does not prove no contact exists.</v>
      </c>
      <c r="AB110" s="4" t="str">
        <v>site:linkedin.com/in "MCST 4753" Singapore (manager OR management OR facilities OR "quantity surveyor" OR director)</v>
      </c>
      <c r="AC110" s="4" t="str">
        <v>site:linkedin.com "MCST 4753" Singapore</v>
      </c>
      <c r="AD110" s="13" t="n">
        <v>46298</v>
      </c>
      <c r="AE110" s="11" t="str"/>
    </row>
    <row r="111" ht="50" customHeight="1">
      <c r="A111" s="4" t="str">
        <v>3588</v>
      </c>
      <c r="B111" s="4" t="str">
        <v>THE MARQUE @ IRRAWADDY</v>
      </c>
      <c r="C111" s="4" t="str"/>
      <c r="D111" s="4" t="str">
        <v>No suitable lead found</v>
      </c>
      <c r="E111" s="4" t="str"/>
      <c r="F111" s="4" t="str"/>
      <c r="G111" s="4" t="str"/>
      <c r="H111" s="4" t="str"/>
      <c r="I111" s="4" t="str"/>
      <c r="J111" s="11" t="str"/>
      <c r="K111" s="4" t="str"/>
      <c r="L111" s="4" t="str"/>
      <c r="M111" s="4" t="str"/>
      <c r="N111" s="4" t="str"/>
      <c r="O111" s="11" t="str"/>
      <c r="P111" s="11" t="str"/>
      <c r="Q111" s="11" t="str"/>
      <c r="R111" s="12" t="n">
        <v>0</v>
      </c>
      <c r="S111" s="4" t="str"/>
      <c r="T111" s="4" t="str">
        <v>No published email found</v>
      </c>
      <c r="U111" s="4" t="str">
        <v>NA</v>
      </c>
      <c r="V111" s="4" t="str">
        <v>T10MC0067A</v>
      </c>
      <c r="W111" s="4" t="str">
        <v>8 SHAN ROAD 328108</v>
      </c>
      <c r="X111" s="4" t="str">
        <v>8 SHAN ROAD 01-01 THE MARQUE @ IRRAWADDY 328108</v>
      </c>
      <c r="Y111" s="4" t="str">
        <v>STRATUM PROPERTY SERVICES PTE LTD</v>
      </c>
      <c r="Z111" s="4" t="str">
        <v>No usable phone or email found</v>
      </c>
      <c r="AA111" s="4" t="str">
        <v>No suitable Singapore Stratum Property Services professional found. Foreign similarly named businesses rejected.</v>
      </c>
      <c r="AB111" s="4" t="str">
        <v>site:linkedin.com/in "THE MARQUE @ IRRAWADDY" Singapore (manager OR management OR facilities OR "quantity surveyor" OR director)</v>
      </c>
      <c r="AC111" s="4" t="str">
        <v>site:linkedin.com "THE MARQUE @ IRRAWADDY" Singapore</v>
      </c>
      <c r="AD111" s="13" t="n">
        <v>46298</v>
      </c>
      <c r="AE111" s="11" t="str"/>
    </row>
    <row r="112" ht="50" customHeight="1">
      <c r="A112" s="4" t="str">
        <v>4645</v>
      </c>
      <c r="B112" s="4" t="str">
        <v>VICTORY 8</v>
      </c>
      <c r="C112" s="4" t="str"/>
      <c r="D112" s="4" t="str">
        <v>No suitable lead found</v>
      </c>
      <c r="E112" s="4" t="str"/>
      <c r="F112" s="4" t="str"/>
      <c r="G112" s="4" t="str"/>
      <c r="H112" s="4" t="str"/>
      <c r="I112" s="4" t="str"/>
      <c r="J112" s="11" t="str"/>
      <c r="K112" s="4" t="str"/>
      <c r="L112" s="4" t="str"/>
      <c r="M112" s="4" t="str"/>
      <c r="N112" s="4" t="str"/>
      <c r="O112" s="11" t="str"/>
      <c r="P112" s="11" t="str"/>
      <c r="Q112" s="11" t="str"/>
      <c r="R112" s="12" t="n">
        <v>0</v>
      </c>
      <c r="S112" s="4" t="str"/>
      <c r="T112" s="4" t="str">
        <v>No published email found</v>
      </c>
      <c r="U112" s="4" t="str">
        <v>NA</v>
      </c>
      <c r="V112" s="4" t="str">
        <v>T18MC0074C</v>
      </c>
      <c r="W112" s="4" t="str">
        <v>NA</v>
      </c>
      <c r="X112" s="4" t="str">
        <v>291 JOO CHIAT ROAD 03-01 JK CENTRE 427543</v>
      </c>
      <c r="Y112" s="4" t="str">
        <v>NA</v>
      </c>
      <c r="Z112" s="4" t="str">
        <v>No usable phone or email found</v>
      </c>
      <c r="AA112" s="4" t="str">
        <v>Overseas businesses and unrelated Victory 8 references rejected.</v>
      </c>
      <c r="AB112" s="4" t="str">
        <v>site:linkedin.com/in "VICTORY 8" Singapore (manager OR management OR facilities OR "quantity surveyor" OR director)</v>
      </c>
      <c r="AC112" s="4" t="str">
        <v>site:linkedin.com "VICTORY 8" Singapore</v>
      </c>
      <c r="AD112" s="13" t="n">
        <v>46298</v>
      </c>
      <c r="AE112" s="11" t="str"/>
    </row>
    <row r="113" ht="50" customHeight="1">
      <c r="A113" s="4" t="str">
        <v>4970</v>
      </c>
      <c r="B113" s="4" t="str">
        <v>ZYANYA</v>
      </c>
      <c r="C113" s="4" t="str"/>
      <c r="D113" s="4" t="str">
        <v>No suitable lead found</v>
      </c>
      <c r="E113" s="4" t="str"/>
      <c r="F113" s="4" t="str"/>
      <c r="G113" s="4" t="str"/>
      <c r="H113" s="4" t="str"/>
      <c r="I113" s="4" t="str"/>
      <c r="J113" s="11" t="str"/>
      <c r="K113" s="4" t="str"/>
      <c r="L113" s="4" t="str"/>
      <c r="M113" s="4" t="str"/>
      <c r="N113" s="4" t="str"/>
      <c r="O113" s="11" t="str"/>
      <c r="P113" s="11" t="str"/>
      <c r="Q113" s="11" t="str"/>
      <c r="R113" s="12" t="n">
        <v>0</v>
      </c>
      <c r="S113" s="4" t="str"/>
      <c r="T113" s="4" t="str">
        <v>No published email found</v>
      </c>
      <c r="U113" s="4" t="str">
        <v>NA</v>
      </c>
      <c r="V113" s="4" t="str">
        <v>T25MC0040C</v>
      </c>
      <c r="W113" s="4" t="str">
        <v>NA</v>
      </c>
      <c r="X113" s="4" t="str">
        <v>72 SENOKO DRIVE 758240</v>
      </c>
      <c r="Y113" s="4" t="str">
        <v>NA</v>
      </c>
      <c r="Z113" s="4" t="str">
        <v>No usable phone or email found</v>
      </c>
      <c r="AA113" s="4" t="str">
        <v>Sales references and overseas people named Zyanya did not establish a suitable management or project contact.</v>
      </c>
      <c r="AB113" s="4" t="str">
        <v>site:linkedin.com/in "ZYANYA" Singapore (manager OR management OR facilities OR "quantity surveyor" OR director)</v>
      </c>
      <c r="AC113" s="4" t="str">
        <v>site:linkedin.com "ZYANYA" Singapore</v>
      </c>
      <c r="AD113" s="13" t="n">
        <v>46298</v>
      </c>
      <c r="AE113" s="11" t="str"/>
    </row>
  </sheetData>
  <conditionalFormatting sqref="D5:D113">
    <cfRule type="containsText" dxfId="0" priority="1" operator="containsText" text="No suitable lead found"/>
  </conditionalFormatting>
  <hyperlinks>
    <hyperlink ref="J5" r:id="contactLink1"/>
    <hyperlink ref="O5" r:id="contactLink2"/>
    <hyperlink ref="P5" r:id="contactLink3"/>
    <hyperlink ref="J6" r:id="contactLink4"/>
    <hyperlink ref="O6" r:id="contactLink5"/>
    <hyperlink ref="P6" r:id="contactLink6"/>
    <hyperlink ref="Q6" r:id="contactLink7"/>
    <hyperlink ref="J7" r:id="contactLink8"/>
    <hyperlink ref="O7" r:id="contactLink9"/>
    <hyperlink ref="P7" r:id="contactLink10"/>
    <hyperlink ref="J8" r:id="contactLink11"/>
    <hyperlink ref="O8" r:id="contactLink12"/>
    <hyperlink ref="P8" r:id="contactLink13"/>
    <hyperlink ref="J9" r:id="contactLink14"/>
    <hyperlink ref="O9" r:id="contactLink15"/>
    <hyperlink ref="P9" r:id="contactLink16"/>
    <hyperlink ref="J10" r:id="contactLink17"/>
    <hyperlink ref="O10" r:id="contactLink18"/>
    <hyperlink ref="P10" r:id="contactLink19"/>
    <hyperlink ref="J11" r:id="contactLink20"/>
    <hyperlink ref="O11" r:id="contactLink21"/>
    <hyperlink ref="P11" r:id="contactLink22"/>
    <hyperlink ref="J12" r:id="contactLink23"/>
    <hyperlink ref="O12" r:id="contactLink24"/>
    <hyperlink ref="P12" r:id="contactLink25"/>
    <hyperlink ref="J13" r:id="contactLink26"/>
    <hyperlink ref="O13" r:id="contactLink27"/>
    <hyperlink ref="P13" r:id="contactLink28"/>
    <hyperlink ref="J14" r:id="contactLink29"/>
    <hyperlink ref="O14" r:id="contactLink30"/>
    <hyperlink ref="P14" r:id="contactLink31"/>
    <hyperlink ref="J15" r:id="contactLink32"/>
    <hyperlink ref="O15" r:id="contactLink33"/>
    <hyperlink ref="P15" r:id="contactLink34"/>
    <hyperlink ref="Q15" r:id="contactLink35"/>
    <hyperlink ref="J16" r:id="contactLink36"/>
    <hyperlink ref="O16" r:id="contactLink37"/>
    <hyperlink ref="P16" r:id="contactLink38"/>
    <hyperlink ref="J17" r:id="contactLink39"/>
    <hyperlink ref="O17" r:id="contactLink40"/>
    <hyperlink ref="P17" r:id="contactLink41"/>
    <hyperlink ref="Q17" r:id="contactLink42"/>
    <hyperlink ref="J18" r:id="contactLink43"/>
    <hyperlink ref="O18" r:id="contactLink44"/>
    <hyperlink ref="P18" r:id="contactLink45"/>
    <hyperlink ref="J19" r:id="contactLink46"/>
    <hyperlink ref="O19" r:id="contactLink47"/>
    <hyperlink ref="P19" r:id="contactLink48"/>
    <hyperlink ref="J20" r:id="contactLink49"/>
    <hyperlink ref="O20" r:id="contactLink50"/>
    <hyperlink ref="P20" r:id="contactLink51"/>
    <hyperlink ref="Q20" r:id="contactLink52"/>
    <hyperlink ref="J21" r:id="contactLink53"/>
    <hyperlink ref="O21" r:id="contactLink54"/>
    <hyperlink ref="P21" r:id="contactLink55"/>
    <hyperlink ref="J22" r:id="contactLink56"/>
    <hyperlink ref="O22" r:id="contactLink57"/>
    <hyperlink ref="P22" r:id="contactLink58"/>
    <hyperlink ref="J23" r:id="contactLink59"/>
    <hyperlink ref="O23" r:id="contactLink60"/>
    <hyperlink ref="P23" r:id="contactLink61"/>
    <hyperlink ref="J24" r:id="contactLink62"/>
    <hyperlink ref="O24" r:id="contactLink63"/>
    <hyperlink ref="P24" r:id="contactLink64"/>
    <hyperlink ref="Q24" r:id="contactLink65"/>
    <hyperlink ref="J25" r:id="contactLink66"/>
    <hyperlink ref="O25" r:id="contactLink67"/>
    <hyperlink ref="P25" r:id="contactLink68"/>
    <hyperlink ref="J26" r:id="contactLink69"/>
    <hyperlink ref="O26" r:id="contactLink70"/>
    <hyperlink ref="P26" r:id="contactLink71"/>
    <hyperlink ref="J27" r:id="contactLink72"/>
    <hyperlink ref="O27" r:id="contactLink73"/>
    <hyperlink ref="P27" r:id="contactLink74"/>
    <hyperlink ref="J28" r:id="contactLink75"/>
    <hyperlink ref="O28" r:id="contactLink76"/>
    <hyperlink ref="P28" r:id="contactLink77"/>
    <hyperlink ref="J29" r:id="contactLink78"/>
    <hyperlink ref="O29" r:id="contactLink79"/>
    <hyperlink ref="P29" r:id="contactLink80"/>
    <hyperlink ref="Q29" r:id="contactLink81"/>
    <hyperlink ref="J30" r:id="contactLink82"/>
    <hyperlink ref="O30" r:id="contactLink83"/>
    <hyperlink ref="P30" r:id="contactLink84"/>
    <hyperlink ref="Q30" r:id="contactLink85"/>
    <hyperlink ref="J31" r:id="contactLink86"/>
    <hyperlink ref="O31" r:id="contactLink87"/>
    <hyperlink ref="P31" r:id="contactLink88"/>
    <hyperlink ref="Q31" r:id="contactLink89"/>
    <hyperlink ref="AE71" r:id="contactLink90"/>
  </hyperlinks>
  <pageMargins left="0.7" right="0.7" top="0.75" bottom="0.75" header="0.3" footer="0.3"/>
  <tableParts count="1">
    <tablePart r:id="Ra48ecc6a6dec49ba"/>
  </tableParts>
</worksheet>
</file>

<file path=xl/worksheets/sheet2.xml><?xml version="1.0" encoding="utf-8"?>
<worksheet xmlns="http://schemas.openxmlformats.org/spreadsheetml/2006/main" xmlns:r="http://schemas.openxmlformats.org/officeDocument/2006/relationships">
  <sheetViews>
    <sheetView showGridLines="0" workbookViewId="0">
      <pane xSplit="1" ySplit="4" topLeftCell="B5" activePane="bottomRight" state="frozen"/>
    </sheetView>
  </sheetViews>
  <sheetFormatPr defaultRowHeight="15"/>
  <cols>
    <col min="1" max="1" width="11" hidden="0" customWidth="1"/>
    <col min="2" max="2" width="11" hidden="0" customWidth="1"/>
    <col min="3" max="3" width="30" hidden="0" customWidth="1"/>
    <col min="4" max="4" width="26" hidden="0" customWidth="1"/>
    <col min="5" max="5" width="43" hidden="0" customWidth="1"/>
    <col min="6" max="6" width="42" hidden="0" customWidth="1"/>
    <col min="7" max="7" width="35" hidden="0" customWidth="1"/>
    <col min="8" max="8" width="60" hidden="0" customWidth="1"/>
    <col min="9" max="9" width="40" hidden="0" customWidth="1"/>
    <col min="10" max="10" width="23" hidden="0" customWidth="1"/>
    <col min="11" max="11" width="52" hidden="0" customWidth="1"/>
    <col min="12" max="12" width="65" hidden="0" customWidth="1"/>
    <col min="13" max="13" width="43" hidden="0" customWidth="1"/>
    <col min="14" max="14" width="72" hidden="0" customWidth="1"/>
    <col min="15" max="15" width="68" hidden="0" customWidth="1"/>
    <col min="16" max="16" width="68" hidden="0" customWidth="1"/>
    <col min="17" max="17" width="68" hidden="0" customWidth="1"/>
    <col min="18" max="18" width="18" hidden="0" customWidth="1"/>
    <col min="19" max="19" width="14" hidden="0" customWidth="1"/>
  </cols>
  <sheetData>
    <row r="1" ht="23" customHeight="1">
      <c r="A1" s="14" t="str">
        <v>People and referral routes</v>
      </c>
    </row>
    <row r="2" ht="23" customHeight="1">
      <c r="A2" s="15" t="str">
        <v>One row per person–MCST relationship. Repeated people are shared referrals, not separate recipients.</v>
      </c>
    </row>
    <row r="4" ht="42" customHeight="1">
      <c r="A4" s="8" t="str">
        <v>Lead ID</v>
      </c>
      <c r="B4" s="9" t="str">
        <v>MCST No</v>
      </c>
      <c r="C4" s="9" t="str">
        <v>Development Name</v>
      </c>
      <c r="D4" s="9" t="str">
        <v>Lead name</v>
      </c>
      <c r="E4" s="9" t="str">
        <v>Role</v>
      </c>
      <c r="F4" s="9" t="str">
        <v>Organisation</v>
      </c>
      <c r="G4" s="9" t="str">
        <v>Relationship</v>
      </c>
      <c r="H4" s="9" t="str">
        <v>LinkedIn URL</v>
      </c>
      <c r="I4" s="9" t="str">
        <v>Published business email</v>
      </c>
      <c r="J4" s="9" t="str">
        <v>Published business phone</v>
      </c>
      <c r="K4" s="9" t="str">
        <v>Contact scope</v>
      </c>
      <c r="L4" s="9" t="str">
        <v>Evidence summary</v>
      </c>
      <c r="M4" s="9" t="str">
        <v>Evidence period</v>
      </c>
      <c r="N4" s="9" t="str">
        <v>Limitations</v>
      </c>
      <c r="O4" s="9" t="str">
        <v>Connection source</v>
      </c>
      <c r="P4" s="9" t="str">
        <v>Role source</v>
      </c>
      <c r="Q4" s="9" t="str">
        <v>Contact source</v>
      </c>
      <c r="R4" s="9" t="str">
        <v>Checked on</v>
      </c>
      <c r="S4" s="10" t="str">
        <v>Sub MCST No</v>
      </c>
    </row>
    <row r="5" ht="50" customHeight="1">
      <c r="A5" s="4" t="str">
        <v>L001</v>
      </c>
      <c r="B5" s="4" t="str">
        <v>02-4958</v>
      </c>
      <c r="C5" s="4" t="str">
        <v>GUOCO MIDTOWN</v>
      </c>
      <c r="D5" s="4" t="str">
        <v>Sonia Siow</v>
      </c>
      <c r="E5" s="4" t="str">
        <v>Assistant manager, facilities management (profile description)</v>
      </c>
      <c r="F5" s="4" t="str">
        <v>GuocoLand Group</v>
      </c>
      <c r="G5" s="4" t="str">
        <v>Property facilities-management lead</v>
      </c>
      <c r="H5" s="11" t="str">
        <v>https://sg.linkedin.com/in/sonia-siow-18a31b104</v>
      </c>
      <c r="I5" s="4" t="str"/>
      <c r="J5" s="4" t="str"/>
      <c r="K5" s="4" t="str">
        <v>LinkedIn profile only</v>
      </c>
      <c r="L5" s="4" t="str">
        <v>Profile describes facilities-management responsibility at Guoco Midtown, including construction, TOP and tenant operations.</v>
      </c>
      <c r="M5" s="4" t="str">
        <v>Not publicly dated</v>
      </c>
      <c r="N5" s="4" t="str">
        <v>Current property assignment is unconfirmed. Confirm the responsible management team before relying on this referral.</v>
      </c>
      <c r="O5" s="11" t="str">
        <v>https://sg.linkedin.com/in/sonia-siow-18a31b104</v>
      </c>
      <c r="P5" s="11" t="str">
        <v>https://sg.linkedin.com/in/sonia-siow-18a31b104</v>
      </c>
      <c r="Q5" s="11" t="str"/>
      <c r="R5" s="13" t="n">
        <v>46298</v>
      </c>
      <c r="S5" s="4" t="str">
        <v>02-4958</v>
      </c>
    </row>
    <row r="6" ht="50" customHeight="1">
      <c r="A6" s="4" t="str">
        <v>L002</v>
      </c>
      <c r="B6" s="4" t="str">
        <v>4958</v>
      </c>
      <c r="C6" s="4" t="str">
        <v>GUOCO MIDTOWN/MIDTOWN BAY</v>
      </c>
      <c r="D6" s="4" t="str">
        <v>Sonia Siow</v>
      </c>
      <c r="E6" s="4" t="str">
        <v>Assistant manager, facilities management (profile description)</v>
      </c>
      <c r="F6" s="4" t="str">
        <v>GuocoLand Group</v>
      </c>
      <c r="G6" s="4" t="str">
        <v>Property facilities-management lead</v>
      </c>
      <c r="H6" s="11" t="str">
        <v>https://sg.linkedin.com/in/sonia-siow-18a31b104</v>
      </c>
      <c r="I6" s="4" t="str"/>
      <c r="J6" s="4" t="str"/>
      <c r="K6" s="4" t="str">
        <v>LinkedIn profile only</v>
      </c>
      <c r="L6" s="4" t="str">
        <v>Profile describes facilities-management responsibility at Guoco Midtown, including construction, TOP and tenant operations.</v>
      </c>
      <c r="M6" s="4" t="str">
        <v>Not publicly dated</v>
      </c>
      <c r="N6" s="4" t="str">
        <v>Current property assignment is unconfirmed. Confirm the responsible management team before relying on this referral.</v>
      </c>
      <c r="O6" s="11" t="str">
        <v>https://sg.linkedin.com/in/sonia-siow-18a31b104</v>
      </c>
      <c r="P6" s="11" t="str">
        <v>https://sg.linkedin.com/in/sonia-siow-18a31b104</v>
      </c>
      <c r="Q6" s="11" t="str"/>
      <c r="R6" s="13" t="n">
        <v>46298</v>
      </c>
      <c r="S6" s="4" t="str">
        <v>NA</v>
      </c>
    </row>
    <row r="7" ht="50" customHeight="1">
      <c r="A7" s="4" t="str">
        <v>L003</v>
      </c>
      <c r="B7" s="4" t="str">
        <v>01-4958</v>
      </c>
      <c r="C7" s="4" t="str">
        <v>MIDTOWN BAY</v>
      </c>
      <c r="D7" s="4" t="str">
        <v>Sonia Siow</v>
      </c>
      <c r="E7" s="4" t="str">
        <v>Assistant manager, facilities management (profile description)</v>
      </c>
      <c r="F7" s="4" t="str">
        <v>GuocoLand Group</v>
      </c>
      <c r="G7" s="4" t="str">
        <v>Related integrated-development referral</v>
      </c>
      <c r="H7" s="11" t="str">
        <v>https://sg.linkedin.com/in/sonia-siow-18a31b104</v>
      </c>
      <c r="I7" s="4" t="str"/>
      <c r="J7" s="4" t="str"/>
      <c r="K7" s="4" t="str">
        <v>LinkedIn profile only</v>
      </c>
      <c r="L7" s="4" t="str">
        <v>Profile concerns Guoco Midtown. Midtown Bay is its residential component. Residential MCST responsibility is unconfirmed.</v>
      </c>
      <c r="M7" s="4" t="str">
        <v>Not publicly dated</v>
      </c>
      <c r="N7" s="4" t="str">
        <v>Related integrated-development referral. The profile does not establish responsibility for the Midtown Bay subsidiary MCST.</v>
      </c>
      <c r="O7" s="11" t="str">
        <v>https://www.linkedin.com/posts/cscec-singapore-926189194_guocomidtown-projectupdate-construction-activity-7057420018493374464-qQB2</v>
      </c>
      <c r="P7" s="11" t="str">
        <v>https://sg.linkedin.com/in/sonia-siow-18a31b104</v>
      </c>
      <c r="Q7" s="11" t="str"/>
      <c r="R7" s="13" t="n">
        <v>46298</v>
      </c>
      <c r="S7" s="4" t="str">
        <v>01-4958</v>
      </c>
    </row>
    <row r="8" ht="50" customHeight="1">
      <c r="A8" s="4" t="str">
        <v>L004</v>
      </c>
      <c r="B8" s="4" t="str">
        <v>01-4958</v>
      </c>
      <c r="C8" s="4" t="str">
        <v>MIDTOWN BAY</v>
      </c>
      <c r="D8" s="4" t="str">
        <v>Wenshan Zhao</v>
      </c>
      <c r="E8" s="4" t="str">
        <v>Quantity surveyor; contract management</v>
      </c>
      <c r="F8" s="4" t="str">
        <v>China State Construction (CSCEC)</v>
      </c>
      <c r="G8" s="4" t="str">
        <v>Project / contractor referral</v>
      </c>
      <c r="H8" s="11" t="str">
        <v>https://sg.linkedin.com/in/wenshan-zhao-542b43310</v>
      </c>
      <c r="I8" s="4" t="str"/>
      <c r="J8" s="4" t="str"/>
      <c r="K8" s="4" t="str">
        <v>LinkedIn profile only</v>
      </c>
      <c r="L8" s="4" t="str">
        <v>Profile lists quantity surveying and contract-management work for Guoco Midtown Integrated Development.</v>
      </c>
      <c r="M8" s="4" t="str">
        <v>Not publicly dated</v>
      </c>
      <c r="N8" s="4" t="str">
        <v>Construction-stage referral. No current MCST management or residential-component assignment established.</v>
      </c>
      <c r="O8" s="11" t="str">
        <v>https://sg.linkedin.com/in/wenshan-zhao-542b43310</v>
      </c>
      <c r="P8" s="11" t="str">
        <v>https://sg.linkedin.com/in/wenshan-zhao-542b43310</v>
      </c>
      <c r="Q8" s="11" t="str"/>
      <c r="R8" s="13" t="n">
        <v>46298</v>
      </c>
      <c r="S8" s="4" t="str">
        <v>01-4958</v>
      </c>
    </row>
    <row r="9" ht="50" customHeight="1">
      <c r="A9" s="4" t="str">
        <v>L005</v>
      </c>
      <c r="B9" s="4" t="str">
        <v>02-4958</v>
      </c>
      <c r="C9" s="4" t="str">
        <v>GUOCO MIDTOWN</v>
      </c>
      <c r="D9" s="4" t="str">
        <v>Wenshan Zhao</v>
      </c>
      <c r="E9" s="4" t="str">
        <v>Quantity surveyor; contract management</v>
      </c>
      <c r="F9" s="4" t="str">
        <v>China State Construction (CSCEC)</v>
      </c>
      <c r="G9" s="4" t="str">
        <v>Project / contractor referral</v>
      </c>
      <c r="H9" s="11" t="str">
        <v>https://sg.linkedin.com/in/wenshan-zhao-542b43310</v>
      </c>
      <c r="I9" s="4" t="str"/>
      <c r="J9" s="4" t="str"/>
      <c r="K9" s="4" t="str">
        <v>LinkedIn profile only</v>
      </c>
      <c r="L9" s="4" t="str">
        <v>Profile lists quantity surveying and contract-management work for Guoco Midtown Integrated Development.</v>
      </c>
      <c r="M9" s="4" t="str">
        <v>Not publicly dated</v>
      </c>
      <c r="N9" s="4" t="str">
        <v>Construction-stage referral. No current MCST management or residential-component assignment established.</v>
      </c>
      <c r="O9" s="11" t="str">
        <v>https://sg.linkedin.com/in/wenshan-zhao-542b43310</v>
      </c>
      <c r="P9" s="11" t="str">
        <v>https://sg.linkedin.com/in/wenshan-zhao-542b43310</v>
      </c>
      <c r="Q9" s="11" t="str"/>
      <c r="R9" s="13" t="n">
        <v>46298</v>
      </c>
      <c r="S9" s="4" t="str">
        <v>02-4958</v>
      </c>
    </row>
    <row r="10" ht="50" customHeight="1">
      <c r="A10" s="4" t="str">
        <v>L006</v>
      </c>
      <c r="B10" s="4" t="str">
        <v>4958</v>
      </c>
      <c r="C10" s="4" t="str">
        <v>GUOCO MIDTOWN/MIDTOWN BAY</v>
      </c>
      <c r="D10" s="4" t="str">
        <v>Wenshan Zhao</v>
      </c>
      <c r="E10" s="4" t="str">
        <v>Quantity surveyor; contract management</v>
      </c>
      <c r="F10" s="4" t="str">
        <v>China State Construction (CSCEC)</v>
      </c>
      <c r="G10" s="4" t="str">
        <v>Project / contractor referral</v>
      </c>
      <c r="H10" s="11" t="str">
        <v>https://sg.linkedin.com/in/wenshan-zhao-542b43310</v>
      </c>
      <c r="I10" s="4" t="str"/>
      <c r="J10" s="4" t="str"/>
      <c r="K10" s="4" t="str">
        <v>LinkedIn profile only</v>
      </c>
      <c r="L10" s="4" t="str">
        <v>Profile lists quantity surveying and contract-management work for Guoco Midtown Integrated Development.</v>
      </c>
      <c r="M10" s="4" t="str">
        <v>Not publicly dated</v>
      </c>
      <c r="N10" s="4" t="str">
        <v>Construction-stage referral. No current MCST management or residential-component assignment established.</v>
      </c>
      <c r="O10" s="11" t="str">
        <v>https://sg.linkedin.com/in/wenshan-zhao-542b43310</v>
      </c>
      <c r="P10" s="11" t="str">
        <v>https://sg.linkedin.com/in/wenshan-zhao-542b43310</v>
      </c>
      <c r="Q10" s="11" t="str"/>
      <c r="R10" s="13" t="n">
        <v>46298</v>
      </c>
      <c r="S10" s="4" t="str">
        <v>NA</v>
      </c>
    </row>
    <row r="11" ht="50" customHeight="1">
      <c r="A11" s="4" t="str">
        <v>L007</v>
      </c>
      <c r="B11" s="4" t="str">
        <v>01-4981</v>
      </c>
      <c r="C11" s="4" t="str">
        <v>MIDTOWN MODERN</v>
      </c>
      <c r="D11" s="4" t="str">
        <v>Patricia Lim</v>
      </c>
      <c r="E11" s="4" t="str">
        <v>Title not publicly visible</v>
      </c>
      <c r="F11" s="4" t="str">
        <v>Guocoland Midtown Modern (profile employer label)</v>
      </c>
      <c r="G11" s="4" t="str">
        <v>Property-affiliated referral; role unknown</v>
      </c>
      <c r="H11" s="11" t="str">
        <v>https://sg.linkedin.com/in/patricia-lim-b4975b55</v>
      </c>
      <c r="I11" s="4" t="str"/>
      <c r="J11" s="4" t="str"/>
      <c r="K11" s="4" t="str">
        <v>LinkedIn profile only</v>
      </c>
      <c r="L11" s="4" t="str">
        <v>Profile names Guocoland Midtown Modern in its experience section.</v>
      </c>
      <c r="M11" s="4" t="str">
        <v>Not publicly dated</v>
      </c>
      <c r="N11" s="4" t="str">
        <v>Employer/property affiliation is visible; job title, dates and management responsibility are not. Ask for the facilities or property manager.</v>
      </c>
      <c r="O11" s="11" t="str">
        <v>https://sg.linkedin.com/in/patricia-lim-b4975b55</v>
      </c>
      <c r="P11" s="11" t="str">
        <v>https://sg.linkedin.com/in/patricia-lim-b4975b55</v>
      </c>
      <c r="Q11" s="11" t="str"/>
      <c r="R11" s="13" t="n">
        <v>46298</v>
      </c>
      <c r="S11" s="4" t="str">
        <v>01-4981</v>
      </c>
    </row>
    <row r="12" ht="50" customHeight="1">
      <c r="A12" s="4" t="str">
        <v>L008</v>
      </c>
      <c r="B12" s="4" t="str">
        <v>4981</v>
      </c>
      <c r="C12" s="4" t="str">
        <v>GUOCO MIDTOWN II/ MIDTOWN MODERN</v>
      </c>
      <c r="D12" s="4" t="str">
        <v>Patricia Lim</v>
      </c>
      <c r="E12" s="4" t="str">
        <v>Title not publicly visible</v>
      </c>
      <c r="F12" s="4" t="str">
        <v>Guocoland Midtown Modern (profile employer label)</v>
      </c>
      <c r="G12" s="4" t="str">
        <v>Property-affiliated referral; role unknown</v>
      </c>
      <c r="H12" s="11" t="str">
        <v>https://sg.linkedin.com/in/patricia-lim-b4975b55</v>
      </c>
      <c r="I12" s="4" t="str"/>
      <c r="J12" s="4" t="str"/>
      <c r="K12" s="4" t="str">
        <v>LinkedIn profile only</v>
      </c>
      <c r="L12" s="4" t="str">
        <v>Profile names Guocoland Midtown Modern in its experience section.</v>
      </c>
      <c r="M12" s="4" t="str">
        <v>Not publicly dated</v>
      </c>
      <c r="N12" s="4" t="str">
        <v>Employer/property affiliation is visible; job title, dates and management responsibility are not. Ask for the facilities or property manager.</v>
      </c>
      <c r="O12" s="11" t="str">
        <v>https://sg.linkedin.com/in/patricia-lim-b4975b55</v>
      </c>
      <c r="P12" s="11" t="str">
        <v>https://sg.linkedin.com/in/patricia-lim-b4975b55</v>
      </c>
      <c r="Q12" s="11" t="str"/>
      <c r="R12" s="13" t="n">
        <v>46298</v>
      </c>
      <c r="S12" s="4" t="str">
        <v>NA</v>
      </c>
    </row>
    <row r="13" ht="50" customHeight="1">
      <c r="A13" s="4" t="str">
        <v>L009</v>
      </c>
      <c r="B13" s="4" t="str">
        <v>0310</v>
      </c>
      <c r="C13" s="4" t="str">
        <v>THONG TECK BUILDING</v>
      </c>
      <c r="D13" s="4" t="str">
        <v>Wing Yan Chang</v>
      </c>
      <c r="E13" s="4" t="str">
        <v>Director &amp; Head of Project Management</v>
      </c>
      <c r="F13" s="4" t="str">
        <v>Colliers Singapore</v>
      </c>
      <c r="G13" s="4" t="str">
        <v>Managing-agent brand referral</v>
      </c>
      <c r="H13" s="11" t="str">
        <v>https://sg.linkedin.com/in/wing-yan-chang-%E9%84%AD%E8%A9%A0%E6%81%A9-8bb69113a</v>
      </c>
      <c r="I13" s="4" t="str"/>
      <c r="J13" s="4" t="str">
        <v>+65 6531 8504</v>
      </c>
      <c r="K13" s="4" t="str">
        <v>Published Colliers business line</v>
      </c>
      <c r="L13" s="4" t="str">
        <v>BCA lists Colliers International Asset Management. Colliers publishes Chang as its Singapore project-management head.</v>
      </c>
      <c r="M13" s="4" t="str">
        <v>Not publicly dated</v>
      </c>
      <c r="N13" s="4" t="str">
        <v>Corporate brand referral. Her project-management division is not confirmed as the building’s asset-management team or on-site manager.</v>
      </c>
      <c r="O13" s="11" t="str">
        <v>https://data.gov.sg/datasets/d_f988c57e16e99ad3a649aa04572efd1c/view</v>
      </c>
      <c r="P13" s="11" t="str">
        <v>https://www.colliers.com/en-sg/countries/singapore/leadership</v>
      </c>
      <c r="Q13" s="11" t="str">
        <v>https://www.colliers.com/en-sg/countries/singapore/leadership</v>
      </c>
      <c r="R13" s="13" t="n">
        <v>46298</v>
      </c>
      <c r="S13" s="4" t="str">
        <v>NA</v>
      </c>
    </row>
    <row r="14" ht="50" customHeight="1">
      <c r="A14" s="4" t="str">
        <v>L010</v>
      </c>
      <c r="B14" s="4" t="str">
        <v>0411</v>
      </c>
      <c r="C14" s="4" t="str">
        <v>THONG TECK BUILDING</v>
      </c>
      <c r="D14" s="4" t="str">
        <v>Wing Yan Chang</v>
      </c>
      <c r="E14" s="4" t="str">
        <v>Director &amp; Head of Project Management</v>
      </c>
      <c r="F14" s="4" t="str">
        <v>Colliers Singapore</v>
      </c>
      <c r="G14" s="4" t="str">
        <v>Managing-agent brand referral</v>
      </c>
      <c r="H14" s="11" t="str">
        <v>https://sg.linkedin.com/in/wing-yan-chang-%E9%84%AD%E8%A9%A0%E6%81%A9-8bb69113a</v>
      </c>
      <c r="I14" s="4" t="str"/>
      <c r="J14" s="4" t="str">
        <v>+65 6531 8504</v>
      </c>
      <c r="K14" s="4" t="str">
        <v>Published Colliers business line</v>
      </c>
      <c r="L14" s="4" t="str">
        <v>BCA lists Colliers International Asset Management. Colliers publishes Chang as its Singapore project-management head.</v>
      </c>
      <c r="M14" s="4" t="str">
        <v>Not publicly dated</v>
      </c>
      <c r="N14" s="4" t="str">
        <v>Corporate brand referral. Her project-management division is not confirmed as the building’s asset-management team or on-site manager.</v>
      </c>
      <c r="O14" s="11" t="str">
        <v>https://data.gov.sg/datasets/d_f988c57e16e99ad3a649aa04572efd1c/view</v>
      </c>
      <c r="P14" s="11" t="str">
        <v>https://www.colliers.com/en-sg/countries/singapore/leadership</v>
      </c>
      <c r="Q14" s="11" t="str">
        <v>https://www.colliers.com/en-sg/countries/singapore/leadership</v>
      </c>
      <c r="R14" s="13" t="n">
        <v>46298</v>
      </c>
      <c r="S14" s="4" t="str">
        <v>NA</v>
      </c>
    </row>
    <row r="15" ht="50" customHeight="1">
      <c r="A15" s="4" t="str">
        <v>L011</v>
      </c>
      <c r="B15" s="4" t="str">
        <v>0439</v>
      </c>
      <c r="C15" s="4" t="str">
        <v>THONG TECK BUILDING</v>
      </c>
      <c r="D15" s="4" t="str">
        <v>Wing Yan Chang</v>
      </c>
      <c r="E15" s="4" t="str">
        <v>Director &amp; Head of Project Management</v>
      </c>
      <c r="F15" s="4" t="str">
        <v>Colliers Singapore</v>
      </c>
      <c r="G15" s="4" t="str">
        <v>Managing-agent brand referral</v>
      </c>
      <c r="H15" s="11" t="str">
        <v>https://sg.linkedin.com/in/wing-yan-chang-%E9%84%AD%E8%A9%A0%E6%81%A9-8bb69113a</v>
      </c>
      <c r="I15" s="4" t="str"/>
      <c r="J15" s="4" t="str">
        <v>+65 6531 8504</v>
      </c>
      <c r="K15" s="4" t="str">
        <v>Published Colliers business line</v>
      </c>
      <c r="L15" s="4" t="str">
        <v>BCA lists Colliers International Asset Management. Colliers publishes Chang as its Singapore project-management head.</v>
      </c>
      <c r="M15" s="4" t="str">
        <v>Not publicly dated</v>
      </c>
      <c r="N15" s="4" t="str">
        <v>Corporate brand referral. Her project-management division is not confirmed as the building’s asset-management team or on-site manager.</v>
      </c>
      <c r="O15" s="11" t="str">
        <v>https://data.gov.sg/datasets/d_f988c57e16e99ad3a649aa04572efd1c/view</v>
      </c>
      <c r="P15" s="11" t="str">
        <v>https://www.colliers.com/en-sg/countries/singapore/leadership</v>
      </c>
      <c r="Q15" s="11" t="str">
        <v>https://www.colliers.com/en-sg/countries/singapore/leadership</v>
      </c>
      <c r="R15" s="13" t="n">
        <v>46298</v>
      </c>
      <c r="S15" s="4" t="str">
        <v>NA</v>
      </c>
    </row>
    <row r="16" ht="50" customHeight="1">
      <c r="A16" s="4" t="str">
        <v>L012</v>
      </c>
      <c r="B16" s="4" t="str">
        <v>1115</v>
      </c>
      <c r="C16" s="4" t="str">
        <v>MANAGEMENT CORPORATION STRATA TITLE PLAN NO. 1115</v>
      </c>
      <c r="D16" s="4" t="str">
        <v>Silviana Oei</v>
      </c>
      <c r="E16" s="4" t="str">
        <v>Title not publicly visible</v>
      </c>
      <c r="F16" s="4" t="str">
        <v>Santat Pte Ltd</v>
      </c>
      <c r="G16" s="4" t="str">
        <v>Managing-agent company referral</v>
      </c>
      <c r="H16" s="11" t="str">
        <v>https://sg.linkedin.com/in/silviana-oei-5b755227</v>
      </c>
      <c r="I16" s="4" t="str"/>
      <c r="J16" s="4" t="str"/>
      <c r="K16" s="4" t="str">
        <v>LinkedIn profile only</v>
      </c>
      <c r="L16" s="4" t="str">
        <v>BCA names Santat as managing agent. The profile lists Santat experience.</v>
      </c>
      <c r="M16" s="4" t="str">
        <v>Not publicly dated</v>
      </c>
      <c r="N16" s="4" t="str">
        <v>Company affiliation only. Title, current employment dates and assignment to this MCST are not publicly established.</v>
      </c>
      <c r="O16" s="11" t="str">
        <v>https://data.gov.sg/datasets/d_f988c57e16e99ad3a649aa04572efd1c/view</v>
      </c>
      <c r="P16" s="11" t="str">
        <v>https://sg.linkedin.com/in/silviana-oei-5b755227</v>
      </c>
      <c r="Q16" s="11" t="str"/>
      <c r="R16" s="13" t="n">
        <v>46298</v>
      </c>
      <c r="S16" s="4" t="str">
        <v>NA</v>
      </c>
    </row>
    <row r="17" ht="50" customHeight="1">
      <c r="A17" s="4" t="str">
        <v>L013</v>
      </c>
      <c r="B17" s="4" t="str">
        <v>4890</v>
      </c>
      <c r="C17" s="4" t="str">
        <v>KOPAR AT NEWTON</v>
      </c>
      <c r="D17" s="4" t="str">
        <v>Winnie Wong</v>
      </c>
      <c r="E17" s="4" t="str">
        <v>Senior Managing Director, Property Management</v>
      </c>
      <c r="F17" s="4" t="str">
        <v>Savills Property Management</v>
      </c>
      <c r="G17" s="4" t="str">
        <v>Appointed-agent leadership referral</v>
      </c>
      <c r="H17" s="11" t="str">
        <v>https://sg.linkedin.com/in/winnie-wong-7b784a253</v>
      </c>
      <c r="I17" s="4" t="str"/>
      <c r="J17" s="4" t="str">
        <v>+65 6346 3238</v>
      </c>
      <c r="K17" s="4" t="str">
        <v>Shared Savills property-management office</v>
      </c>
      <c r="L17" s="4" t="str">
        <v>Savills’ own LinkedIn announcement names this development as a managing-agent appointment and tags Winnie Wong.</v>
      </c>
      <c r="M17" s="4" t="str">
        <v>Public appointment announcement; exact end date not shown</v>
      </c>
      <c r="N17" s="4" t="str">
        <v>Company appointment is published. Wong is a company leader, not a confirmed on-site manager. Ask the office for the assigned estate team.</v>
      </c>
      <c r="O17" s="11" t="str">
        <v>https://www.linkedin.com/posts/savills-singapore_savillssg-savillspropertymanagement-koparatnewton-activity-7368447477047312385-GxsE</v>
      </c>
      <c r="P17" s="11" t="str">
        <v>https://www.savills.com.sg/services/property-management.aspx</v>
      </c>
      <c r="Q17" s="11" t="str">
        <v>https://www.savills.com.sg/services/property-management.aspx</v>
      </c>
      <c r="R17" s="13" t="n">
        <v>46298</v>
      </c>
      <c r="S17" s="4" t="str">
        <v>NA</v>
      </c>
    </row>
    <row r="18" ht="50" customHeight="1">
      <c r="A18" s="4" t="str">
        <v>L014</v>
      </c>
      <c r="B18" s="4" t="str">
        <v>4977</v>
      </c>
      <c r="C18" s="4" t="str">
        <v>NORTH GAIA</v>
      </c>
      <c r="D18" s="4" t="str">
        <v>Winnie Wong</v>
      </c>
      <c r="E18" s="4" t="str">
        <v>Senior Managing Director, Property Management</v>
      </c>
      <c r="F18" s="4" t="str">
        <v>Savills Property Management</v>
      </c>
      <c r="G18" s="4" t="str">
        <v>Appointed-agent leadership referral</v>
      </c>
      <c r="H18" s="11" t="str">
        <v>https://sg.linkedin.com/in/winnie-wong-7b784a253</v>
      </c>
      <c r="I18" s="4" t="str"/>
      <c r="J18" s="4" t="str">
        <v>+65 6346 3238</v>
      </c>
      <c r="K18" s="4" t="str">
        <v>Shared Savills property-management office</v>
      </c>
      <c r="L18" s="4" t="str">
        <v>Savills’ own LinkedIn announcement names this development as a managing-agent appointment and tags Winnie Wong.</v>
      </c>
      <c r="M18" s="4" t="str">
        <v>Public appointment announcement; exact end date not shown</v>
      </c>
      <c r="N18" s="4" t="str">
        <v>Company appointment is published. Wong is a company leader, not a confirmed on-site manager. Ask the office for the assigned estate team.</v>
      </c>
      <c r="O18" s="11" t="str">
        <v>https://www.linkedin.com/posts/savills-singapore_savillssingapore-savillssg-savillspropertymanagement-activity-7379002830625550336-8ytU</v>
      </c>
      <c r="P18" s="11" t="str">
        <v>https://www.savills.com.sg/services/property-management.aspx</v>
      </c>
      <c r="Q18" s="11" t="str">
        <v>https://www.savills.com.sg/services/property-management.aspx</v>
      </c>
      <c r="R18" s="13" t="n">
        <v>46298</v>
      </c>
      <c r="S18" s="4" t="str">
        <v>NA</v>
      </c>
    </row>
    <row r="19" ht="50" customHeight="1">
      <c r="A19" s="4" t="str">
        <v>L015</v>
      </c>
      <c r="B19" s="4" t="str">
        <v>4890</v>
      </c>
      <c r="C19" s="4" t="str">
        <v>KOPAR AT NEWTON</v>
      </c>
      <c r="D19" s="4" t="str">
        <v>Steven Chew</v>
      </c>
      <c r="E19" s="4" t="str">
        <v>Mechanical and electrical design specialist (profile description)</v>
      </c>
      <c r="F19" s="4" t="str">
        <v>United Tec Construction Pte Ltd</v>
      </c>
      <c r="G19" s="4" t="str">
        <v>Project / contractor referral</v>
      </c>
      <c r="H19" s="11" t="str">
        <v>https://sg.linkedin.com/in/steven-chew-a90046218z</v>
      </c>
      <c r="I19" s="4" t="str"/>
      <c r="J19" s="4" t="str"/>
      <c r="K19" s="4" t="str">
        <v>LinkedIn profile only</v>
      </c>
      <c r="L19" s="4" t="str">
        <v>Profile lists both Kopar at Newton and The Watergardens at Canberra as construction projects.</v>
      </c>
      <c r="M19" s="4" t="str">
        <v>Kopar: September 2019; Watergardens: August 2020</v>
      </c>
      <c r="N19" s="4" t="str">
        <v>Historical construction-project connection. Exact current title and ongoing maintenance responsibility are unconfirmed.</v>
      </c>
      <c r="O19" s="11" t="str">
        <v>https://sg.linkedin.com/in/steven-chew-a90046218z</v>
      </c>
      <c r="P19" s="11" t="str">
        <v>https://sg.linkedin.com/in/steven-chew-a90046218z</v>
      </c>
      <c r="Q19" s="11" t="str"/>
      <c r="R19" s="13" t="n">
        <v>46298</v>
      </c>
      <c r="S19" s="4" t="str">
        <v>NA</v>
      </c>
    </row>
    <row r="20" ht="50" customHeight="1">
      <c r="A20" s="4" t="str">
        <v>L016</v>
      </c>
      <c r="B20" s="4" t="str">
        <v>4966</v>
      </c>
      <c r="C20" s="4" t="str">
        <v>THE WATERGARDENS AT CANBERRA</v>
      </c>
      <c r="D20" s="4" t="str">
        <v>Steven Chew</v>
      </c>
      <c r="E20" s="4" t="str">
        <v>Mechanical and electrical design specialist (profile description)</v>
      </c>
      <c r="F20" s="4" t="str">
        <v>United Tec Construction Pte Ltd</v>
      </c>
      <c r="G20" s="4" t="str">
        <v>Project / contractor referral</v>
      </c>
      <c r="H20" s="11" t="str">
        <v>https://sg.linkedin.com/in/steven-chew-a90046218z</v>
      </c>
      <c r="I20" s="4" t="str"/>
      <c r="J20" s="4" t="str"/>
      <c r="K20" s="4" t="str">
        <v>LinkedIn profile only</v>
      </c>
      <c r="L20" s="4" t="str">
        <v>Profile lists both Kopar at Newton and The Watergardens at Canberra as construction projects.</v>
      </c>
      <c r="M20" s="4" t="str">
        <v>Kopar: September 2019; Watergardens: August 2020</v>
      </c>
      <c r="N20" s="4" t="str">
        <v>Historical construction-project connection. Exact current title and ongoing maintenance responsibility are unconfirmed.</v>
      </c>
      <c r="O20" s="11" t="str">
        <v>https://sg.linkedin.com/in/steven-chew-a90046218z</v>
      </c>
      <c r="P20" s="11" t="str">
        <v>https://sg.linkedin.com/in/steven-chew-a90046218z</v>
      </c>
      <c r="Q20" s="11" t="str"/>
      <c r="R20" s="13" t="n">
        <v>46298</v>
      </c>
      <c r="S20" s="4" t="str">
        <v>NA</v>
      </c>
    </row>
    <row r="21" ht="50" customHeight="1">
      <c r="A21" s="4" t="str">
        <v>L017</v>
      </c>
      <c r="B21" s="4" t="str">
        <v>4977</v>
      </c>
      <c r="C21" s="4" t="str">
        <v>NORTH GAIA</v>
      </c>
      <c r="D21" s="4" t="str">
        <v>Teck Hock Tee</v>
      </c>
      <c r="E21" s="4" t="str">
        <v>Project technical team head; architect</v>
      </c>
      <c r="F21" s="4" t="str">
        <v>MCC Singapore</v>
      </c>
      <c r="G21" s="4" t="str">
        <v>Project / contractor referral</v>
      </c>
      <c r="H21" s="11" t="str">
        <v>https://sg.linkedin.com/in/teck-hock-tee-2b581629</v>
      </c>
      <c r="I21" s="4" t="str"/>
      <c r="J21" s="4" t="str"/>
      <c r="K21" s="4" t="str">
        <v>LinkedIn profile only</v>
      </c>
      <c r="L21" s="4" t="str">
        <v>North Gaia project entry describes leading design coordination, technical teams, consultants and subcontractors.</v>
      </c>
      <c r="M21" s="4" t="str">
        <v>December 2021 to August 2024</v>
      </c>
      <c r="N21" s="4" t="str">
        <v>Historical project-team role. No current MCST or estate-management appointment established.</v>
      </c>
      <c r="O21" s="11" t="str">
        <v>https://sg.linkedin.com/in/teck-hock-tee-2b581629</v>
      </c>
      <c r="P21" s="11" t="str">
        <v>https://sg.linkedin.com/in/teck-hock-tee-2b581629</v>
      </c>
      <c r="Q21" s="11" t="str"/>
      <c r="R21" s="13" t="n">
        <v>46298</v>
      </c>
      <c r="S21" s="4" t="str">
        <v>NA</v>
      </c>
    </row>
    <row r="22" ht="50" customHeight="1">
      <c r="A22" s="4" t="str">
        <v>L018</v>
      </c>
      <c r="B22" s="4" t="str">
        <v>4047</v>
      </c>
      <c r="C22" s="4" t="str">
        <v>CENTRA LOFT</v>
      </c>
      <c r="D22" s="4" t="str">
        <v>Abdul Razak Jaffar</v>
      </c>
      <c r="E22" s="4" t="str">
        <v>PMP-certified project professional; current job title not visible</v>
      </c>
      <c r="F22" s="4" t="str">
        <v>Borneo Properties Sdn Bhd (profile employer)</v>
      </c>
      <c r="G22" s="4" t="str">
        <v>Historical project referral</v>
      </c>
      <c r="H22" s="11" t="str">
        <v>https://sg.linkedin.com/in/abdulrazakjaffar</v>
      </c>
      <c r="I22" s="4" t="str"/>
      <c r="J22" s="4" t="str"/>
      <c r="K22" s="4" t="str">
        <v>LinkedIn profile only</v>
      </c>
      <c r="L22" s="4" t="str">
        <v>Profile lists the 47-unit Centra Loft condominium development among its projects.</v>
      </c>
      <c r="M22" s="4" t="str">
        <v>2013</v>
      </c>
      <c r="N22" s="4" t="str">
        <v>Historical construction-project connection. The listed employer is not confirmed as the Centra Loft managing agent.</v>
      </c>
      <c r="O22" s="11" t="str">
        <v>https://sg.linkedin.com/in/abdulrazakjaffar</v>
      </c>
      <c r="P22" s="11" t="str">
        <v>https://sg.linkedin.com/in/abdulrazakjaffar</v>
      </c>
      <c r="Q22" s="11" t="str"/>
      <c r="R22" s="13" t="n">
        <v>46298</v>
      </c>
      <c r="S22" s="4" t="str">
        <v>NA</v>
      </c>
    </row>
    <row r="23" ht="50" customHeight="1">
      <c r="A23" s="4" t="str">
        <v>L019</v>
      </c>
      <c r="B23" s="4" t="str">
        <v>4465</v>
      </c>
      <c r="C23" s="4" t="str">
        <v>NA</v>
      </c>
      <c r="D23" s="4" t="str">
        <v>Julie Anne Rojas</v>
      </c>
      <c r="E23" s="4" t="str">
        <v>Construction-project contributor; title not public</v>
      </c>
      <c r="F23" s="4" t="str">
        <v>DesignBuild Construction Pte Ltd</v>
      </c>
      <c r="G23" s="4" t="str">
        <v>Historical project referral</v>
      </c>
      <c r="H23" s="11" t="str">
        <v>https://sg.linkedin.com/in/julie-anne-rojas-0036b672</v>
      </c>
      <c r="I23" s="4" t="str"/>
      <c r="J23" s="4" t="str"/>
      <c r="K23" s="4" t="str">
        <v>LinkedIn profile only</v>
      </c>
      <c r="L23" s="4" t="str">
        <v>Profile lists basement fit-out works at Nassim Quattro, 49 Nassim Road. This matches the MCST’s recorded development location.</v>
      </c>
      <c r="M23" s="4" t="str">
        <v>August to September 2021</v>
      </c>
      <c r="N23" s="4" t="str">
        <v>Historical basement fit-out connection at the matching address. The original development name is missing, and no current MCST management appointment is established.</v>
      </c>
      <c r="O23" s="11" t="str">
        <v>https://sg.linkedin.com/in/julie-anne-rojas-0036b672</v>
      </c>
      <c r="P23" s="11" t="str">
        <v>https://sg.linkedin.com/in/julie-anne-rojas-0036b672</v>
      </c>
      <c r="Q23" s="11" t="str"/>
      <c r="R23" s="13" t="n">
        <v>46298</v>
      </c>
      <c r="S23" s="4" t="str">
        <v>NA</v>
      </c>
    </row>
    <row r="24" ht="50" customHeight="1">
      <c r="A24" s="4" t="str">
        <v>L020</v>
      </c>
      <c r="B24" s="4" t="str">
        <v>4940</v>
      </c>
      <c r="C24" s="4" t="str">
        <v>THE ATELIER</v>
      </c>
      <c r="D24" s="4" t="str">
        <v>Julie Anne Rojas</v>
      </c>
      <c r="E24" s="4" t="str">
        <v>Construction-project contributor; title not public</v>
      </c>
      <c r="F24" s="4" t="str">
        <v>DesignBuild Construction Pte Ltd</v>
      </c>
      <c r="G24" s="4" t="str">
        <v>Project / contractor referral</v>
      </c>
      <c r="H24" s="11" t="str">
        <v>https://sg.linkedin.com/in/julie-anne-rojas-0036b672</v>
      </c>
      <c r="I24" s="4" t="str"/>
      <c r="J24" s="4" t="str"/>
      <c r="K24" s="4" t="str">
        <v>LinkedIn profile only</v>
      </c>
      <c r="L24" s="4" t="str">
        <v>Profile lists a 120-unit residential project at 2 Makeway Avenue, matching The Atelier’s recorded address.</v>
      </c>
      <c r="M24" s="4" t="str">
        <v>May 2022</v>
      </c>
      <c r="N24" s="4" t="str">
        <v>Historical construction-project lead. No current MCST management appointment established.</v>
      </c>
      <c r="O24" s="11" t="str">
        <v>https://sg.linkedin.com/in/julie-anne-rojas-0036b672</v>
      </c>
      <c r="P24" s="11" t="str">
        <v>https://sg.linkedin.com/in/julie-anne-rojas-0036b672</v>
      </c>
      <c r="Q24" s="11" t="str"/>
      <c r="R24" s="13" t="n">
        <v>46298</v>
      </c>
      <c r="S24" s="4" t="str">
        <v>NA</v>
      </c>
    </row>
    <row r="25" ht="50" customHeight="1">
      <c r="A25" s="4" t="str">
        <v>L021</v>
      </c>
      <c r="B25" s="4" t="str">
        <v>4964</v>
      </c>
      <c r="C25" s="4" t="str">
        <v>IRWELL HILL RESIDENCES</v>
      </c>
      <c r="D25" s="4" t="str">
        <v>Elvis Ang</v>
      </c>
      <c r="E25" s="4" t="str">
        <v>Developer project-team contributor; title not public</v>
      </c>
      <c r="F25" s="4" t="str">
        <v>City Developments Limited</v>
      </c>
      <c r="G25" s="4" t="str">
        <v>Historical developer-project referral</v>
      </c>
      <c r="H25" s="11" t="str">
        <v>https://sg.linkedin.com/in/elvis-ang-17170489</v>
      </c>
      <c r="I25" s="4" t="str"/>
      <c r="J25" s="4" t="str"/>
      <c r="K25" s="4" t="str">
        <v>LinkedIn profile only</v>
      </c>
      <c r="L25" s="4" t="str">
        <v>Profile lists the 540-unit Irwell Hill Residences project and CDL experience.</v>
      </c>
      <c r="M25" s="4" t="str">
        <v>May 2024 to July 2025</v>
      </c>
      <c r="N25" s="4" t="str">
        <v>Profile shows a later project elsewhere. Treat as a historical project referral, not the present estate manager.</v>
      </c>
      <c r="O25" s="11" t="str">
        <v>https://sg.linkedin.com/in/elvis-ang-17170489</v>
      </c>
      <c r="P25" s="11" t="str">
        <v>https://sg.linkedin.com/in/elvis-ang-17170489</v>
      </c>
      <c r="Q25" s="11" t="str"/>
      <c r="R25" s="13" t="n">
        <v>46298</v>
      </c>
      <c r="S25" s="4" t="str">
        <v>NA</v>
      </c>
    </row>
    <row r="26" ht="50" customHeight="1">
      <c r="A26" s="4" t="str">
        <v>L022</v>
      </c>
      <c r="B26" s="4" t="str">
        <v>4989</v>
      </c>
      <c r="C26" s="4" t="str">
        <v>35 GILSTEAD</v>
      </c>
      <c r="D26" s="4" t="str">
        <v>Jackie Foo</v>
      </c>
      <c r="E26" s="4" t="str">
        <v>Landscape design and project-delivery professional</v>
      </c>
      <c r="F26" s="4" t="str">
        <v>Tinderbox Landscape Studio Pte Ltd</v>
      </c>
      <c r="G26" s="4" t="str">
        <v>Project / consultant referral</v>
      </c>
      <c r="H26" s="11" t="str">
        <v>https://sg.linkedin.com/in/jackie-foo90</v>
      </c>
      <c r="I26" s="4" t="str"/>
      <c r="J26" s="4" t="str"/>
      <c r="K26" s="4" t="str">
        <v>LinkedIn profile only</v>
      </c>
      <c r="L26" s="4" t="str">
        <v>The 35 Gilstead project entry describes landscape delivery, tender and procurement work.</v>
      </c>
      <c r="M26" s="4" t="str">
        <v>October 2018 to Present (profile wording)</v>
      </c>
      <c r="N26" s="4" t="str">
        <v>Landscape-package referral. The profile’s Present label does not independently confirm a current assignment.</v>
      </c>
      <c r="O26" s="11" t="str">
        <v>https://sg.linkedin.com/in/jackie-foo90</v>
      </c>
      <c r="P26" s="11" t="str">
        <v>https://sg.linkedin.com/in/jackie-foo90</v>
      </c>
      <c r="Q26" s="11" t="str"/>
      <c r="R26" s="13" t="n">
        <v>46298</v>
      </c>
      <c r="S26" s="4" t="str">
        <v>NA</v>
      </c>
    </row>
    <row r="27" ht="50" customHeight="1">
      <c r="A27" s="4" t="str">
        <v>L023</v>
      </c>
      <c r="B27" s="4" t="str">
        <v>4997</v>
      </c>
      <c r="C27" s="4" t="str">
        <v>CT FOODNEX</v>
      </c>
      <c r="D27" s="4" t="str">
        <v>Nicholas Tan</v>
      </c>
      <c r="E27" s="4" t="str">
        <v>Sales and leasing / development marketing; exact current title unconfirmed</v>
      </c>
      <c r="F27" s="4" t="str">
        <v>Chiu Teng Enterprises Pte Ltd</v>
      </c>
      <c r="G27" s="4" t="str">
        <v>Developer commercial-team referral</v>
      </c>
      <c r="H27" s="11" t="str">
        <v>https://sg.linkedin.com/in/nic-bigday</v>
      </c>
      <c r="I27" s="4" t="str"/>
      <c r="J27" s="4" t="str"/>
      <c r="K27" s="4" t="str">
        <v>LinkedIn profile only</v>
      </c>
      <c r="L27" s="4" t="str">
        <v>Profile lists CT FoodNEX and describes commercial development marketing and launch work.</v>
      </c>
      <c r="M27" s="4" t="str">
        <v>Not publicly dated</v>
      </c>
      <c r="N27" s="4" t="str">
        <v>Developer commercial-team connection. No facilities, QS or MCST management role is established.</v>
      </c>
      <c r="O27" s="11" t="str">
        <v>https://sg.linkedin.com/in/nic-bigday</v>
      </c>
      <c r="P27" s="11" t="str">
        <v>https://sg.linkedin.com/in/nic-bigday</v>
      </c>
      <c r="Q27" s="11" t="str"/>
      <c r="R27" s="13" t="n">
        <v>46298</v>
      </c>
      <c r="S27" s="4" t="str">
        <v>NA</v>
      </c>
    </row>
    <row r="28" ht="50" customHeight="1">
      <c r="A28" s="4" t="str">
        <v>L024</v>
      </c>
      <c r="B28" s="4" t="str">
        <v>4952</v>
      </c>
      <c r="C28" s="4" t="str">
        <v>KI RESIDENCES AT BROOKVALE</v>
      </c>
      <c r="D28" s="4" t="str">
        <v>Johideen Mohamed Hamanullah</v>
      </c>
      <c r="E28" s="4" t="str">
        <v>Construction and workplace-safety project contact; exact title not public</v>
      </c>
      <c r="F28" s="4" t="str">
        <v>Straits Construction Singapore Pte Ltd</v>
      </c>
      <c r="G28" s="4" t="str">
        <v>Historical project referral</v>
      </c>
      <c r="H28" s="11" t="str">
        <v>https://sg.linkedin.com/in/johideen-mohamed</v>
      </c>
      <c r="I28" s="4" t="str"/>
      <c r="J28" s="4" t="str"/>
      <c r="K28" s="4" t="str">
        <v>LinkedIn profile only</v>
      </c>
      <c r="L28" s="4" t="str">
        <v>Profile associates its 2021, 2022 and 2023 workplace-safety awards with Ki Residences.</v>
      </c>
      <c r="M28" s="4" t="str">
        <v>2021 to 2023 awards</v>
      </c>
      <c r="N28" s="4" t="str">
        <v>Historical project affiliation through safety awards. Current estate responsibility and exact job title are unconfirmed.</v>
      </c>
      <c r="O28" s="11" t="str">
        <v>https://sg.linkedin.com/in/johideen-mohamed</v>
      </c>
      <c r="P28" s="11" t="str">
        <v>https://sg.linkedin.com/in/johideen-mohamed</v>
      </c>
      <c r="Q28" s="11" t="str"/>
      <c r="R28" s="13" t="n">
        <v>46298</v>
      </c>
      <c r="S28" s="4" t="str">
        <v>NA</v>
      </c>
    </row>
    <row r="29" ht="50" customHeight="1">
      <c r="A29" s="4" t="str">
        <v>L025</v>
      </c>
      <c r="B29" s="4" t="str">
        <v>4951</v>
      </c>
      <c r="C29" s="4" t="str">
        <v>PENROSE</v>
      </c>
      <c r="D29" s="4" t="str">
        <v>Cheah Ding Ding</v>
      </c>
      <c r="E29" s="4" t="str">
        <v>Architect</v>
      </c>
      <c r="F29" s="4" t="str">
        <v>ADDP Architects LLP</v>
      </c>
      <c r="G29" s="4" t="str">
        <v>Project / consultant referral</v>
      </c>
      <c r="H29" s="11" t="str">
        <v>https://sg.linkedin.com/in/ar-cheah-ding-ding-69067a183</v>
      </c>
      <c r="I29" s="4" t="str"/>
      <c r="J29" s="4" t="str"/>
      <c r="K29" s="4" t="str">
        <v>LinkedIn profile only</v>
      </c>
      <c r="L29" s="4" t="str">
        <v>Profile lists a 2020 Penrose Green Mark award among project achievements.</v>
      </c>
      <c r="M29" s="4" t="str">
        <v>2020 award</v>
      </c>
      <c r="N29" s="4" t="str">
        <v>Design-project referral based on a profile achievement. Does not establish current building-management responsibility.</v>
      </c>
      <c r="O29" s="11" t="str">
        <v>https://sg.linkedin.com/in/ar-cheah-ding-ding-69067a183</v>
      </c>
      <c r="P29" s="11" t="str">
        <v>https://sg.linkedin.com/in/ar-cheah-ding-ding-69067a183</v>
      </c>
      <c r="Q29" s="11" t="str"/>
      <c r="R29" s="13" t="n">
        <v>46298</v>
      </c>
      <c r="S29" s="4" t="str">
        <v>NA</v>
      </c>
    </row>
    <row r="30" ht="50" customHeight="1">
      <c r="A30" s="4" t="str">
        <v>L026</v>
      </c>
      <c r="B30" s="4" t="str">
        <v>4928</v>
      </c>
      <c r="C30" s="4" t="str">
        <v>GEMS VILLE</v>
      </c>
      <c r="D30" s="4" t="str">
        <v>Gabriel Sua</v>
      </c>
      <c r="E30" s="4" t="str">
        <v>Security and smart-home systems project contributor</v>
      </c>
      <c r="F30" s="4" t="str">
        <v>PSA Singapore (current profile employer; project employer not shown)</v>
      </c>
      <c r="G30" s="4" t="str">
        <v>Historical project referral</v>
      </c>
      <c r="H30" s="11" t="str">
        <v>https://sg.linkedin.com/in/gabriel-sua</v>
      </c>
      <c r="I30" s="4" t="str"/>
      <c r="J30" s="4" t="str"/>
      <c r="K30" s="4" t="str">
        <v>LinkedIn profile only</v>
      </c>
      <c r="L30" s="4" t="str">
        <v>Gems Ville project entry describes CCTV, access-control and smart-home installation.</v>
      </c>
      <c r="M30" s="4" t="str">
        <v>2024</v>
      </c>
      <c r="N30" s="4" t="str">
        <v>Historical technical referral. PSA is the profile employer, not a claimed developer or managing agent of Gems Ville.</v>
      </c>
      <c r="O30" s="11" t="str">
        <v>https://sg.linkedin.com/in/gabriel-sua</v>
      </c>
      <c r="P30" s="11" t="str">
        <v>https://sg.linkedin.com/in/gabriel-sua</v>
      </c>
      <c r="Q30" s="11" t="str"/>
      <c r="R30" s="13" t="n">
        <v>46298</v>
      </c>
      <c r="S30" s="4" t="str">
        <v>NA</v>
      </c>
    </row>
    <row r="31" ht="50" customHeight="1">
      <c r="A31" s="4" t="str">
        <v>L027</v>
      </c>
      <c r="B31" s="4" t="str">
        <v>4987</v>
      </c>
      <c r="C31" s="4" t="str">
        <v>TENET</v>
      </c>
      <c r="D31" s="4" t="str">
        <v>Zhengjia Michael Lim</v>
      </c>
      <c r="E31" s="4" t="str">
        <v>Formwork design / supply project contact; exact title not public</v>
      </c>
      <c r="F31" s="4" t="str">
        <v>Tremco Construction Products Group, Asia Pacific (profile employer)</v>
      </c>
      <c r="G31" s="4" t="str">
        <v>Historical project referral</v>
      </c>
      <c r="H31" s="11" t="str">
        <v>https://sg.linkedin.com/in/zhengjia-michael-lim-5b0415b8</v>
      </c>
      <c r="I31" s="4" t="str"/>
      <c r="J31" s="4" t="str"/>
      <c r="K31" s="4" t="str">
        <v>LinkedIn profile only</v>
      </c>
      <c r="L31" s="4" t="str">
        <v>Profile lists Tenet formwork supply, design and shoring calculations.</v>
      </c>
      <c r="M31" s="4" t="str">
        <v>January 2023</v>
      </c>
      <c r="N31" s="4" t="str">
        <v>Historical construction-package referral. Current employer need not be the employer for the Tenet project. No MCST role established.</v>
      </c>
      <c r="O31" s="11" t="str">
        <v>https://sg.linkedin.com/in/zhengjia-michael-lim-5b0415b8</v>
      </c>
      <c r="P31" s="11" t="str">
        <v>https://sg.linkedin.com/in/zhengjia-michael-lim-5b0415b8</v>
      </c>
      <c r="Q31" s="11" t="str"/>
      <c r="R31" s="13" t="n">
        <v>46298</v>
      </c>
      <c r="S31" s="4" t="str">
        <v>NA</v>
      </c>
    </row>
    <row r="32" ht="50" customHeight="1">
      <c r="A32" s="4" t="str">
        <v>L028</v>
      </c>
      <c r="B32" s="4" t="str">
        <v>2173</v>
      </c>
      <c r="C32" s="4" t="str">
        <v>MANAGEMENT CORPORATION STRATA TITLE PLAN NO.2173</v>
      </c>
      <c r="D32" s="4" t="str">
        <v>Sammi Lim</v>
      </c>
      <c r="E32" s="4" t="str">
        <v>Founder and Executive Director</v>
      </c>
      <c r="F32" s="4" t="str">
        <v>Brilliance Capital</v>
      </c>
      <c r="G32" s="4" t="str">
        <v>Sales-agent referral</v>
      </c>
      <c r="H32" s="11" t="str">
        <v>https://sg.linkedin.com/in/bc-sammi-lim</v>
      </c>
      <c r="I32" s="4" t="str">
        <v>sammi@brilliancecapital.sg</v>
      </c>
      <c r="J32" s="4" t="str"/>
      <c r="K32" s="4" t="str">
        <v>Published business email of selling-agent contact</v>
      </c>
      <c r="L32" s="4" t="str">
        <v>Her LinkedIn post and Brilliance’s announcement identify a whole-building sale at 17 Hongkong Street.</v>
      </c>
      <c r="M32" s="4" t="str">
        <v>2024 sale announcement</v>
      </c>
      <c r="N32" s="4" t="str">
        <v>Historical whole-building selling-agent referral. No current property-management mandate is established.</v>
      </c>
      <c r="O32" s="11" t="str">
        <v>https://www.linkedin.com/posts/bc-sammi-lim_for-sale-by-expression-of-interest-17-hongkong-activity-7230001763683024898-RZwu</v>
      </c>
      <c r="P32" s="11" t="str">
        <v>https://brilliancecapital.sg/about-us/</v>
      </c>
      <c r="Q32" s="11" t="str">
        <v>https://brilliancecapital.sg/property/6930/</v>
      </c>
      <c r="R32" s="13" t="n">
        <v>46298</v>
      </c>
      <c r="S32" s="4" t="str">
        <v>NA</v>
      </c>
    </row>
    <row r="33" ht="50" customHeight="1">
      <c r="A33" s="4" t="str">
        <v>L029</v>
      </c>
      <c r="B33" s="4" t="str">
        <v>4956</v>
      </c>
      <c r="C33" s="4" t="str">
        <v>Baywind Residences</v>
      </c>
      <c r="D33" s="4" t="str">
        <v>Su Cherry Yin</v>
      </c>
      <c r="E33" s="4" t="str">
        <v>Title not publicly visible</v>
      </c>
      <c r="F33" s="4" t="str">
        <v>LWH Holdings Pte Ltd</v>
      </c>
      <c r="G33" s="4" t="str">
        <v>Developer company referral</v>
      </c>
      <c r="H33" s="11" t="str">
        <v>https://sg.linkedin.com/in/scyin</v>
      </c>
      <c r="I33" s="4" t="str">
        <v>lwh@lwhholdings.com.sg</v>
      </c>
      <c r="J33" s="4" t="str">
        <v>+65 6742 9133</v>
      </c>
      <c r="K33" s="4" t="str">
        <v>Shared developer enquiries, not the person’s direct contact</v>
      </c>
      <c r="L33" s="4" t="str">
        <v>Profile lists LWH Holdings. BCA’s quality-housing listing identifies LWH and ABR as Baywind developers.</v>
      </c>
      <c r="M33" s="4" t="str">
        <v>Not publicly dated</v>
      </c>
      <c r="N33" s="4" t="str">
        <v>Developer-company affiliation only. The person’s role and Baywind assignment are not established; request the project or property-management team.</v>
      </c>
      <c r="O33" s="11" t="str">
        <v>https://www.bca.gov.sg/quality-housing-portal/ProjectDetail.aspx?buildtype=Private+Housing&amp;cat=Contractor&amp;name=JH+Construction+Pte+Ltd</v>
      </c>
      <c r="P33" s="11" t="str">
        <v>https://sg.linkedin.com/in/scyin</v>
      </c>
      <c r="Q33" s="11" t="str">
        <v>https://lwhholdings.com.sg/development</v>
      </c>
      <c r="R33" s="13" t="n">
        <v>46298</v>
      </c>
      <c r="S33" s="4" t="str">
        <v>NA</v>
      </c>
    </row>
    <row r="34" ht="50" customHeight="1">
      <c r="A34" s="4" t="str">
        <v>L030</v>
      </c>
      <c r="B34" s="4" t="str">
        <v>4975</v>
      </c>
      <c r="C34" s="4" t="str">
        <v>MORI</v>
      </c>
      <c r="D34" s="4" t="str">
        <v>Won Tai Piao (T. P. Won)</v>
      </c>
      <c r="E34" s="4" t="str">
        <v>Assistant Director, Developments; leads contract, project and property management</v>
      </c>
      <c r="F34" s="4" t="str">
        <v>Roxy-Pacific Holdings</v>
      </c>
      <c r="G34" s="4" t="str">
        <v>Developer management-team referral</v>
      </c>
      <c r="H34" s="11" t="str">
        <v>https://sg.linkedin.com/in/t-p-won-0a904034</v>
      </c>
      <c r="I34" s="4" t="str"/>
      <c r="J34" s="4" t="str"/>
      <c r="K34" s="4" t="str">
        <v>LinkedIn profile only</v>
      </c>
      <c r="L34" s="4" t="str">
        <v>Official leadership page describes Won’s management remit. LinkedIn lists the same employer and a project-management background.</v>
      </c>
      <c r="M34" s="4" t="str">
        <v>Not publicly dated</v>
      </c>
      <c r="N34" s="4" t="str">
        <v>Developer-level referral. A current MCST appointment or individual assignment to this property is not established.</v>
      </c>
      <c r="O34" s="11" t="str">
        <v>https://www.bca.gov.sg/quality-housing-portal/ProjectDetail.aspx?buildtype=Private+Housing&amp;cat=Contractor&amp;name=JH+Construction+Pte+Ltd</v>
      </c>
      <c r="P34" s="11" t="str">
        <v>https://www.roxypacific.com.sg/about-us/meet-our-management/</v>
      </c>
      <c r="Q34" s="11" t="str"/>
      <c r="R34" s="13" t="n">
        <v>46298</v>
      </c>
      <c r="S34" s="4" t="str">
        <v>NA</v>
      </c>
    </row>
    <row r="35" ht="50" customHeight="1">
      <c r="A35" s="4" t="str">
        <v>L031</v>
      </c>
      <c r="B35" s="4" t="str">
        <v>4979</v>
      </c>
      <c r="C35" s="4" t="str">
        <v>NEU AT NOVENA</v>
      </c>
      <c r="D35" s="4" t="str">
        <v>Won Tai Piao (T. P. Won)</v>
      </c>
      <c r="E35" s="4" t="str">
        <v>Assistant Director, Developments; leads contract, project and property management</v>
      </c>
      <c r="F35" s="4" t="str">
        <v>Roxy-Pacific Holdings</v>
      </c>
      <c r="G35" s="4" t="str">
        <v>Developer management-team referral</v>
      </c>
      <c r="H35" s="11" t="str">
        <v>https://sg.linkedin.com/in/t-p-won-0a904034</v>
      </c>
      <c r="I35" s="4" t="str"/>
      <c r="J35" s="4" t="str"/>
      <c r="K35" s="4" t="str">
        <v>LinkedIn profile only</v>
      </c>
      <c r="L35" s="4" t="str">
        <v>Official leadership page describes Won’s management remit. LinkedIn lists the same employer and a project-management background.</v>
      </c>
      <c r="M35" s="4" t="str">
        <v>Not publicly dated</v>
      </c>
      <c r="N35" s="4" t="str">
        <v>Developer-level referral. A current MCST appointment or individual assignment to this property is not established.</v>
      </c>
      <c r="O35" s="11" t="str">
        <v>https://lwhholdings.com.sg/development/neu-at-novena</v>
      </c>
      <c r="P35" s="11" t="str">
        <v>https://www.roxypacific.com.sg/about-us/meet-our-management/</v>
      </c>
      <c r="Q35" s="11" t="str"/>
      <c r="R35" s="13" t="n">
        <v>46298</v>
      </c>
      <c r="S35" s="4" t="str">
        <v>NA</v>
      </c>
    </row>
    <row r="36" ht="50" customHeight="1">
      <c r="A36" s="4" t="str">
        <v>L032</v>
      </c>
      <c r="B36" s="4" t="str">
        <v>4979</v>
      </c>
      <c r="C36" s="4" t="str">
        <v>NEU AT NOVENA</v>
      </c>
      <c r="D36" s="4" t="str">
        <v>Su Cherry Yin</v>
      </c>
      <c r="E36" s="4" t="str">
        <v>Title not publicly visible</v>
      </c>
      <c r="F36" s="4" t="str">
        <v>LWH Holdings Pte Ltd</v>
      </c>
      <c r="G36" s="4" t="str">
        <v>Developer company referral</v>
      </c>
      <c r="H36" s="11" t="str">
        <v>https://sg.linkedin.com/in/scyin</v>
      </c>
      <c r="I36" s="4" t="str">
        <v>lwh@lwhholdings.com.sg</v>
      </c>
      <c r="J36" s="4" t="str">
        <v>+65 6742 9133</v>
      </c>
      <c r="K36" s="4" t="str">
        <v>Shared developer enquiries, not the person’s direct contact</v>
      </c>
      <c r="L36" s="4" t="str">
        <v>Profile lists LWH Holdings. LWH’s Neu at Novena page names it as a joint developer.</v>
      </c>
      <c r="M36" s="4" t="str">
        <v>Not publicly dated</v>
      </c>
      <c r="N36" s="4" t="str">
        <v>Developer-company affiliation only. The person’s role and development assignment are not established.</v>
      </c>
      <c r="O36" s="11" t="str">
        <v>https://lwhholdings.com.sg/development/neu-at-novena</v>
      </c>
      <c r="P36" s="11" t="str">
        <v>https://sg.linkedin.com/in/scyin</v>
      </c>
      <c r="Q36" s="11" t="str">
        <v>https://lwhholdings.com.sg/development</v>
      </c>
      <c r="R36" s="13" t="n">
        <v>46298</v>
      </c>
      <c r="S36" s="4" t="str">
        <v>NA</v>
      </c>
    </row>
    <row r="37" ht="50" customHeight="1">
      <c r="A37" s="4" t="str">
        <v>L033</v>
      </c>
      <c r="B37" s="4" t="str">
        <v>4943</v>
      </c>
      <c r="C37" s="4" t="str">
        <v>MOOI RESIDENCES</v>
      </c>
      <c r="D37" s="4" t="str">
        <v>Wayne Liow</v>
      </c>
      <c r="E37" s="4" t="str">
        <v>Property-management professional; exact title not public</v>
      </c>
      <c r="F37" s="4" t="str">
        <v>Tri Property Asset Management Pte Ltd</v>
      </c>
      <c r="G37" s="4" t="str">
        <v>Directory-suggested agent referral</v>
      </c>
      <c r="H37" s="11" t="str">
        <v>https://sg.linkedin.com/in/wayne-liow-5672a8b4</v>
      </c>
      <c r="I37" s="4" t="str"/>
      <c r="J37" s="4" t="str">
        <v>+65 6937 9060</v>
      </c>
      <c r="K37" s="4" t="str">
        <v>Shared company number from industry association</v>
      </c>
      <c r="L37" s="4" t="str">
        <v>A third-party managing-agent directory links Tri to Mooi Residences. LinkedIn lists Liow at Tri and offers property-management services.</v>
      </c>
      <c r="M37" s="4" t="str">
        <v>Not publicly dated</v>
      </c>
      <c r="N37" s="4" t="str">
        <v>Property-to-agent link is third-party only and differs from the blank July BCA agent field. Confirm Tri’s appointment and Liow’s role before use.</v>
      </c>
      <c r="O37" s="11" t="str">
        <v>https://comparemanagingagents.com/singapore/managing-agents/tri-property-asset-management/</v>
      </c>
      <c r="P37" s="11" t="str">
        <v>https://sg.linkedin.com/in/wayne-liow-5672a8b4</v>
      </c>
      <c r="Q37" s="11" t="str">
        <v>https://www.asm.org.sg/accredited-strata-firms</v>
      </c>
      <c r="R37" s="13" t="n">
        <v>46298</v>
      </c>
      <c r="S37" s="4" t="str">
        <v>NA</v>
      </c>
    </row>
  </sheetData>
  <hyperlinks>
    <hyperlink ref="H5" r:id="contactLink1"/>
    <hyperlink ref="O5" r:id="contactLink2"/>
    <hyperlink ref="P5" r:id="contactLink3"/>
    <hyperlink ref="H6" r:id="contactLink4"/>
    <hyperlink ref="O6" r:id="contactLink5"/>
    <hyperlink ref="P6" r:id="contactLink6"/>
    <hyperlink ref="H7" r:id="contactLink7"/>
    <hyperlink ref="O7" r:id="contactLink8"/>
    <hyperlink ref="P7" r:id="contactLink9"/>
    <hyperlink ref="H8" r:id="contactLink10"/>
    <hyperlink ref="O8" r:id="contactLink11"/>
    <hyperlink ref="P8" r:id="contactLink12"/>
    <hyperlink ref="H9" r:id="contactLink13"/>
    <hyperlink ref="O9" r:id="contactLink14"/>
    <hyperlink ref="P9" r:id="contactLink15"/>
    <hyperlink ref="H10" r:id="contactLink16"/>
    <hyperlink ref="O10" r:id="contactLink17"/>
    <hyperlink ref="P10" r:id="contactLink18"/>
    <hyperlink ref="H11" r:id="contactLink19"/>
    <hyperlink ref="O11" r:id="contactLink20"/>
    <hyperlink ref="P11" r:id="contactLink21"/>
    <hyperlink ref="H12" r:id="contactLink22"/>
    <hyperlink ref="O12" r:id="contactLink23"/>
    <hyperlink ref="P12" r:id="contactLink24"/>
    <hyperlink ref="H13" r:id="contactLink25"/>
    <hyperlink ref="O13" r:id="contactLink26"/>
    <hyperlink ref="P13" r:id="contactLink27"/>
    <hyperlink ref="Q13" r:id="contactLink28"/>
    <hyperlink ref="H14" r:id="contactLink29"/>
    <hyperlink ref="O14" r:id="contactLink30"/>
    <hyperlink ref="P14" r:id="contactLink31"/>
    <hyperlink ref="Q14" r:id="contactLink32"/>
    <hyperlink ref="H15" r:id="contactLink33"/>
    <hyperlink ref="O15" r:id="contactLink34"/>
    <hyperlink ref="P15" r:id="contactLink35"/>
    <hyperlink ref="Q15" r:id="contactLink36"/>
    <hyperlink ref="H16" r:id="contactLink37"/>
    <hyperlink ref="O16" r:id="contactLink38"/>
    <hyperlink ref="P16" r:id="contactLink39"/>
    <hyperlink ref="H17" r:id="contactLink40"/>
    <hyperlink ref="O17" r:id="contactLink41"/>
    <hyperlink ref="P17" r:id="contactLink42"/>
    <hyperlink ref="Q17" r:id="contactLink43"/>
    <hyperlink ref="H18" r:id="contactLink44"/>
    <hyperlink ref="O18" r:id="contactLink45"/>
    <hyperlink ref="P18" r:id="contactLink46"/>
    <hyperlink ref="Q18" r:id="contactLink47"/>
    <hyperlink ref="H19" r:id="contactLink48"/>
    <hyperlink ref="O19" r:id="contactLink49"/>
    <hyperlink ref="P19" r:id="contactLink50"/>
    <hyperlink ref="H20" r:id="contactLink51"/>
    <hyperlink ref="O20" r:id="contactLink52"/>
    <hyperlink ref="P20" r:id="contactLink53"/>
    <hyperlink ref="H21" r:id="contactLink54"/>
    <hyperlink ref="O21" r:id="contactLink55"/>
    <hyperlink ref="P21" r:id="contactLink56"/>
    <hyperlink ref="H22" r:id="contactLink57"/>
    <hyperlink ref="O22" r:id="contactLink58"/>
    <hyperlink ref="P22" r:id="contactLink59"/>
    <hyperlink ref="H23" r:id="contactLink60"/>
    <hyperlink ref="O23" r:id="contactLink61"/>
    <hyperlink ref="P23" r:id="contactLink62"/>
    <hyperlink ref="H24" r:id="contactLink63"/>
    <hyperlink ref="O24" r:id="contactLink64"/>
    <hyperlink ref="P24" r:id="contactLink65"/>
    <hyperlink ref="H25" r:id="contactLink66"/>
    <hyperlink ref="O25" r:id="contactLink67"/>
    <hyperlink ref="P25" r:id="contactLink68"/>
    <hyperlink ref="H26" r:id="contactLink69"/>
    <hyperlink ref="O26" r:id="contactLink70"/>
    <hyperlink ref="P26" r:id="contactLink71"/>
    <hyperlink ref="H27" r:id="contactLink72"/>
    <hyperlink ref="O27" r:id="contactLink73"/>
    <hyperlink ref="P27" r:id="contactLink74"/>
    <hyperlink ref="H28" r:id="contactLink75"/>
    <hyperlink ref="O28" r:id="contactLink76"/>
    <hyperlink ref="P28" r:id="contactLink77"/>
    <hyperlink ref="H29" r:id="contactLink78"/>
    <hyperlink ref="O29" r:id="contactLink79"/>
    <hyperlink ref="P29" r:id="contactLink80"/>
    <hyperlink ref="H30" r:id="contactLink81"/>
    <hyperlink ref="O30" r:id="contactLink82"/>
    <hyperlink ref="P30" r:id="contactLink83"/>
    <hyperlink ref="H31" r:id="contactLink84"/>
    <hyperlink ref="O31" r:id="contactLink85"/>
    <hyperlink ref="P31" r:id="contactLink86"/>
    <hyperlink ref="H32" r:id="contactLink87"/>
    <hyperlink ref="O32" r:id="contactLink88"/>
    <hyperlink ref="P32" r:id="contactLink89"/>
    <hyperlink ref="Q32" r:id="contactLink90"/>
    <hyperlink ref="H33" r:id="contactLink91"/>
    <hyperlink ref="O33" r:id="contactLink92"/>
    <hyperlink ref="P33" r:id="contactLink93"/>
    <hyperlink ref="Q33" r:id="contactLink94"/>
    <hyperlink ref="H34" r:id="contactLink95"/>
    <hyperlink ref="O34" r:id="contactLink96"/>
    <hyperlink ref="P34" r:id="contactLink97"/>
    <hyperlink ref="H35" r:id="contactLink98"/>
    <hyperlink ref="O35" r:id="contactLink99"/>
    <hyperlink ref="P35" r:id="contactLink100"/>
    <hyperlink ref="H36" r:id="contactLink101"/>
    <hyperlink ref="O36" r:id="contactLink102"/>
    <hyperlink ref="P36" r:id="contactLink103"/>
    <hyperlink ref="Q36" r:id="contactLink104"/>
    <hyperlink ref="H37" r:id="contactLink105"/>
    <hyperlink ref="O37" r:id="contactLink106"/>
    <hyperlink ref="P37" r:id="contactLink107"/>
    <hyperlink ref="Q37" r:id="contactLink108"/>
  </hyperlinks>
  <pageMargins left="0.7" right="0.7" top="0.75" bottom="0.75" header="0.3" footer="0.3"/>
  <tableParts count="1">
    <tablePart r:id="Ra0d1f78870184a55"/>
  </tableParts>
</worksheet>
</file>

<file path=xl/worksheets/sheet3.xml><?xml version="1.0" encoding="utf-8"?>
<worksheet xmlns="http://schemas.openxmlformats.org/spreadsheetml/2006/main" xmlns:r="http://schemas.openxmlformats.org/officeDocument/2006/relationships">
  <sheetViews>
    <sheetView showGridLines="0" workbookViewId="0"/>
  </sheetViews>
  <sheetFormatPr defaultRowHeight="15"/>
  <cols>
    <col min="1" max="1" width="36" hidden="0" customWidth="1"/>
    <col min="2" max="2" width="108" hidden="0" customWidth="1"/>
  </cols>
  <sheetData>
    <row r="1" ht="38" customHeight="1">
      <c r="A1" s="19" t="str">
        <v>MCST LinkedIn contact follow-up</v>
      </c>
      <c r="B1" s="19" t="str">
        <v>Research date: 3 October 2026</v>
      </c>
    </row>
    <row r="2" ht="29" customHeight="1">
      <c r="A2" s="21" t="str">
        <v>Records checked</v>
      </c>
      <c r="B2" s="22" t="n">
        <f>COUNTA('Records'!A5:A113)</f>
        <v>109</v>
      </c>
    </row>
    <row r="3" ht="29" customHeight="1">
      <c r="A3" s="21" t="str">
        <v>Records with a referral lead</v>
      </c>
      <c r="B3" s="22" t="n">
        <f>COUNTIF('Records'!D5:D113,"Referral lead found")</f>
        <v>27</v>
      </c>
    </row>
    <row r="4" ht="29" customHeight="1">
      <c r="A4" s="21" t="str">
        <v>Records still unresolved</v>
      </c>
      <c r="B4" s="22" t="n">
        <f>COUNTIF('Records'!D5:D113,"No suitable lead found")</f>
        <v>82</v>
      </c>
    </row>
    <row r="5" ht="29" customHeight="1">
      <c r="A5" s="21" t="str">
        <v>Person–MCST relationships</v>
      </c>
      <c r="B5" s="22" t="n">
        <f>COUNTA('Leads'!A5:A37)</f>
        <v>33</v>
      </c>
    </row>
    <row r="6" ht="29" customHeight="1">
      <c r="A6" s="21" t="str">
        <v>Distinct people</v>
      </c>
      <c r="B6" s="22" t="n">
        <v>21</v>
      </c>
    </row>
    <row r="7" ht="29" customHeight="1">
      <c r="A7" s="21" t="str">
        <v>Records with a referral email</v>
      </c>
      <c r="B7" s="22" t="n">
        <f>COUNTIF('Records'!T5:T113,"Yes")</f>
        <v>3</v>
      </c>
    </row>
    <row r="8" ht="72" customHeight="1">
      <c r="A8" s="21" t="str">
        <v>Scope</v>
      </c>
      <c r="B8" s="18" t="str">
        <v>All 109 records with neither usable phone nor email in the completed 2 October 2026 dataset. This follow-up does not cover all 1,886 records missing email, because many already have a telephone contact.</v>
      </c>
    </row>
    <row r="9" ht="72" customHeight="1">
      <c r="A9" s="21" t="str">
        <v>How to use</v>
      </c>
      <c r="B9" s="18" t="str">
        <v>Records lists every target, with leads first. Leads includes alternative people and sources. Filter Relationship to distinguish facilities management, appointed-agent leadership, corporate referrals, historical projects and sales referrals.</v>
      </c>
    </row>
    <row r="10" ht="72" customHeight="1">
      <c r="A10" s="21" t="str">
        <v>Best available lead</v>
      </c>
      <c r="B10" s="18" t="str">
        <v>The first candidate prioritises a supported property-management role, an appointed agency or a relevant project connection. Corporate, historical and role-unknown leads remain explicitly labelled. A lead is not confirmation of a current MCST appointment.</v>
      </c>
    </row>
    <row r="11" ht="72" customHeight="1">
      <c r="A11" s="21" t="str">
        <v>Search coverage</v>
      </c>
      <c r="B11" s="18" t="str">
        <v>Every record has two individual public LinkedIn web-search queries recorded. Additional organisation, role and project searches and website checks were used where promising evidence appeared. No result is not proof that a contact does not exist.</v>
      </c>
    </row>
    <row r="12" ht="72" customHeight="1">
      <c r="A12" s="21" t="str">
        <v>Matching rules</v>
      </c>
      <c r="B12" s="18" t="str">
        <v>Property or project entries, stated experience and company publications support matches. A like, repost, tenant address, similar personal name or unrelated overseas company does not by itself support a management relationship.</v>
      </c>
    </row>
    <row r="13" ht="72" customHeight="1">
      <c r="A13" s="21" t="str">
        <v>Role and date limits</v>
      </c>
      <c r="B13" s="18" t="str">
        <v>Public LinkedIn pages can hide titles and employment dates. Such titles remain unknown. Historical project dates and profile Present wording are retained as evidence periods and do not establish ongoing responsibility.</v>
      </c>
    </row>
    <row r="14" ht="72" customHeight="1">
      <c r="A14" s="21" t="str">
        <v>Contact interpretation</v>
      </c>
      <c r="B14" s="18" t="str">
        <v>Phones and emails are published business referral routes. Company switchboards and inboxes are labelled as shared. No guessed addresses, private contact enrichment, telephone calls or messages were used. No deliverability or reachability test was performed.</v>
      </c>
    </row>
    <row r="15" ht="72" customHeight="1">
      <c r="A15" s="21" t="str">
        <v>Email results</v>
      </c>
      <c r="B15" s="18" t="str">
        <v>Three records have a published referral email: MCST 2173 has Sammi Lim’s selling-agent business email; 4956 and 4979 have LWH’s shared developer enquiries email. These are not confirmed MCST management inboxes. Neu at Novena’s email is on its alternative lead in Leads.</v>
      </c>
    </row>
    <row r="16" ht="72" customHeight="1">
      <c r="A16" s="21" t="str">
        <v>Savills appointments</v>
      </c>
      <c r="B16" s="18" t="str">
        <v>Savills’ own LinkedIn posts announce managing-agent appointments for Kopar at Newton and North Gaia. Winnie Wong is a company leadership referral and the telephone is the shared property-management office. Confirm the assigned estate team.</v>
      </c>
    </row>
    <row r="17" ht="72" customHeight="1">
      <c r="A17" s="21" t="str">
        <v>Mooi Residences</v>
      </c>
      <c r="B17" s="18" t="str">
        <v>The suggested Tri Property link comes from a third-party directory; July BCA had no named agent. Wayne Liow’s company affiliation and the association-listed office number are supported, but the property appointment requires confirmation.</v>
      </c>
    </row>
    <row r="18" ht="72" customHeight="1">
      <c r="A18" s="21" t="str">
        <v>Aladdin Management Solutions</v>
      </c>
      <c r="B18" s="18" t="str">
        <v>MCST 0289’s historical registered agent appears in ACRA’s 4 March 2024 final striking-off gazette. The issue and source are recorded on its row; no old directory contact is promoted as current.</v>
      </c>
    </row>
    <row r="19" ht="72" customHeight="1">
      <c r="A19" s="21" t="str">
        <v>Original data</v>
      </c>
      <c r="B19" s="18" t="str">
        <v>This is a supplement to the 3,806-row research snapshot. The original management-contact files and their email coverage counts remain unchanged; referral leads should not be treated as verified management email replacements.</v>
      </c>
    </row>
    <row r="20" ht="72" customHeight="1">
      <c r="A20" s="21" t="str">
        <v>Original source</v>
      </c>
      <c r="B20" s="18" t="str">
        <v>https://data.gov.sg/datasets/d_1f9391a2f1476cdaf4f05a8d3a05c257/view</v>
      </c>
    </row>
    <row r="21" ht="72" customHeight="1">
      <c r="A21" s="21" t="str">
        <v>BCA reference</v>
      </c>
      <c r="B21" s="18" t="str">
        <v>https://data.gov.sg/datasets/d_f988c57e16e99ad3a649aa04572efd1c/view</v>
      </c>
    </row>
    <row r="22" ht="72" customHeight="1">
      <c r="A22" s="21" t="str">
        <v>Sources</v>
      </c>
      <c r="B22" s="18" t="str">
        <v>Each lead includes its public LinkedIn URL, relationship evidence, role source and any business-contact source. Sources were read directly or through the public search index. Research date is an access date, not a promise that source content is current.</v>
      </c>
    </row>
    <row r="23" ht="72" customHeight="1">
      <c r="A23" s="21" t="str">
        <v>Identifiers</v>
      </c>
      <c r="B23" s="18" t="str">
        <v>MCST and subsidiary identifiers are text so leading zeros remain intact. CSV imports should also treat these columns and phone numbers as text.</v>
      </c>
    </row>
    <row r="24" ht="72" customHeight="1">
      <c r="A24" s="21" t="str">
        <v>Reuse</v>
      </c>
      <c r="B24" s="18" t="str">
        <v>BCA data via data.gov.sg, supplemented by the public sources recorded per row. Refer to the Singapore Open Data Licence and source terms: https://data.gov.sg/open-data-licence</v>
      </c>
    </row>
  </sheetData>
  <hyperlinks>
    <hyperlink ref="B20" r:id="contactLink1"/>
    <hyperlink ref="B21" r:id="contactLink2"/>
  </hyperlinks>
  <pageMargins left="0.7" right="0.7" top="0.75" bottom="0.75" header="0.3" footer="0.3"/>
</worksheet>
</file>